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tomg\Desktop\"/>
    </mc:Choice>
  </mc:AlternateContent>
  <xr:revisionPtr revIDLastSave="0" documentId="13_ncr:1_{B925F59A-EE9A-4DA4-878A-F06E99F7C345}" xr6:coauthVersionLast="47" xr6:coauthVersionMax="47" xr10:uidLastSave="{00000000-0000-0000-0000-000000000000}"/>
  <bookViews>
    <workbookView xWindow="-108" yWindow="-108" windowWidth="23256" windowHeight="12576" tabRatio="500" firstSheet="7" activeTab="11" xr2:uid="{00000000-000D-0000-FFFF-FFFF00000000}"/>
  </bookViews>
  <sheets>
    <sheet name="Answer Report 1" sheetId="11" r:id="rId1"/>
    <sheet name="Sensitivity Report 1" sheetId="12" r:id="rId2"/>
    <sheet name="Limits Report 1" sheetId="13" r:id="rId3"/>
    <sheet name="Task1" sheetId="1" r:id="rId4"/>
    <sheet name="Answer Report 2" sheetId="15" r:id="rId5"/>
    <sheet name="Sensitivity Report 2" sheetId="16" r:id="rId6"/>
    <sheet name="Limits Report 2" sheetId="17" r:id="rId7"/>
    <sheet name="Task2" sheetId="14" r:id="rId8"/>
    <sheet name="Answer Report 3" sheetId="22" r:id="rId9"/>
    <sheet name="Sensitivity Report 3" sheetId="23" r:id="rId10"/>
    <sheet name="Limits Report 3" sheetId="24" r:id="rId11"/>
    <sheet name="Task3" sheetId="18" r:id="rId12"/>
  </sheets>
  <definedNames>
    <definedName name="solver_adj" localSheetId="3" hidden="1">Task1!$B$2:$E$4</definedName>
    <definedName name="solver_adj" localSheetId="7" hidden="1">Task2!$B$2:$E$4</definedName>
    <definedName name="solver_adj" localSheetId="11" hidden="1">Task3!$B$2:$E$4</definedName>
    <definedName name="solver_cvg" localSheetId="3" hidden="1">0.0001</definedName>
    <definedName name="solver_cvg" localSheetId="7" hidden="1">0.0001</definedName>
    <definedName name="solver_cvg" localSheetId="11" hidden="1">0.0001</definedName>
    <definedName name="solver_drv" localSheetId="3" hidden="1">2</definedName>
    <definedName name="solver_drv" localSheetId="7" hidden="1">2</definedName>
    <definedName name="solver_drv" localSheetId="11" hidden="1">2</definedName>
    <definedName name="solver_eng" localSheetId="3" hidden="1">2</definedName>
    <definedName name="solver_eng" localSheetId="7" hidden="1">2</definedName>
    <definedName name="solver_eng" localSheetId="11" hidden="1">2</definedName>
    <definedName name="solver_est" localSheetId="3" hidden="1">1</definedName>
    <definedName name="solver_est" localSheetId="7" hidden="1">1</definedName>
    <definedName name="solver_est" localSheetId="11" hidden="1">1</definedName>
    <definedName name="solver_itr" localSheetId="3" hidden="1">2147483647</definedName>
    <definedName name="solver_itr" localSheetId="7" hidden="1">2147483647</definedName>
    <definedName name="solver_itr" localSheetId="11" hidden="1">2147483647</definedName>
    <definedName name="solver_lhs1" localSheetId="3" hidden="1">Task1!$B$5</definedName>
    <definedName name="solver_lhs1" localSheetId="7" hidden="1">Task2!$B$5</definedName>
    <definedName name="solver_lhs1" localSheetId="11" hidden="1">Task3!$B$5</definedName>
    <definedName name="solver_lhs2" localSheetId="3" hidden="1">Task1!$C$5</definedName>
    <definedName name="solver_lhs2" localSheetId="7" hidden="1">Task2!$C$5</definedName>
    <definedName name="solver_lhs2" localSheetId="11" hidden="1">Task3!$C$5</definedName>
    <definedName name="solver_lhs3" localSheetId="3" hidden="1">Task1!$D$5</definedName>
    <definedName name="solver_lhs3" localSheetId="7" hidden="1">Task2!$D$5</definedName>
    <definedName name="solver_lhs3" localSheetId="11" hidden="1">Task3!$D$5</definedName>
    <definedName name="solver_lhs4" localSheetId="3" hidden="1">Task1!$E$5</definedName>
    <definedName name="solver_lhs4" localSheetId="7" hidden="1">Task2!$E$5</definedName>
    <definedName name="solver_lhs4" localSheetId="11" hidden="1">Task3!$E$5</definedName>
    <definedName name="solver_lhs5" localSheetId="3" hidden="1">Task1!$F$2</definedName>
    <definedName name="solver_lhs5" localSheetId="7" hidden="1">Task2!$F$2</definedName>
    <definedName name="solver_lhs5" localSheetId="11" hidden="1">Task3!$F$2</definedName>
    <definedName name="solver_lhs6" localSheetId="3" hidden="1">Task1!$F$3</definedName>
    <definedName name="solver_lhs6" localSheetId="7" hidden="1">Task2!$F$3</definedName>
    <definedName name="solver_lhs6" localSheetId="11" hidden="1">Task3!$F$3</definedName>
    <definedName name="solver_lhs7" localSheetId="3" hidden="1">Task1!$F$4</definedName>
    <definedName name="solver_lhs7" localSheetId="7" hidden="1">Task2!$F$4</definedName>
    <definedName name="solver_lhs7" localSheetId="11" hidden="1">Task3!$F$4</definedName>
    <definedName name="solver_mip" localSheetId="3" hidden="1">2147483647</definedName>
    <definedName name="solver_mip" localSheetId="7" hidden="1">2147483647</definedName>
    <definedName name="solver_mip" localSheetId="11" hidden="1">2147483647</definedName>
    <definedName name="solver_mni" localSheetId="3" hidden="1">30</definedName>
    <definedName name="solver_mni" localSheetId="7" hidden="1">30</definedName>
    <definedName name="solver_mni" localSheetId="11" hidden="1">30</definedName>
    <definedName name="solver_mrt" localSheetId="3" hidden="1">0.075</definedName>
    <definedName name="solver_mrt" localSheetId="7" hidden="1">0.075</definedName>
    <definedName name="solver_mrt" localSheetId="11" hidden="1">0.075</definedName>
    <definedName name="solver_msl" localSheetId="3" hidden="1">2</definedName>
    <definedName name="solver_msl" localSheetId="7" hidden="1">2</definedName>
    <definedName name="solver_msl" localSheetId="11" hidden="1">2</definedName>
    <definedName name="solver_neg" localSheetId="3" hidden="1">1</definedName>
    <definedName name="solver_neg" localSheetId="7" hidden="1">1</definedName>
    <definedName name="solver_neg" localSheetId="11" hidden="1">1</definedName>
    <definedName name="solver_nod" localSheetId="3" hidden="1">2147483647</definedName>
    <definedName name="solver_nod" localSheetId="7" hidden="1">2147483647</definedName>
    <definedName name="solver_nod" localSheetId="11" hidden="1">2147483647</definedName>
    <definedName name="solver_num" localSheetId="3" hidden="1">7</definedName>
    <definedName name="solver_num" localSheetId="7" hidden="1">7</definedName>
    <definedName name="solver_num" localSheetId="11" hidden="1">7</definedName>
    <definedName name="solver_nwt" localSheetId="3" hidden="1">1</definedName>
    <definedName name="solver_nwt" localSheetId="7" hidden="1">1</definedName>
    <definedName name="solver_nwt" localSheetId="11" hidden="1">1</definedName>
    <definedName name="solver_opt" localSheetId="3" hidden="1">Task1!$G$7</definedName>
    <definedName name="solver_opt" localSheetId="7" hidden="1">Task2!$G$7</definedName>
    <definedName name="solver_opt" localSheetId="11" hidden="1">Task3!$G$7</definedName>
    <definedName name="solver_pre" localSheetId="3" hidden="1">0.000001</definedName>
    <definedName name="solver_pre" localSheetId="7" hidden="1">0.000001</definedName>
    <definedName name="solver_pre" localSheetId="11" hidden="1">0.000001</definedName>
    <definedName name="solver_rbv" localSheetId="3" hidden="1">2</definedName>
    <definedName name="solver_rbv" localSheetId="7" hidden="1">2</definedName>
    <definedName name="solver_rbv" localSheetId="11" hidden="1">2</definedName>
    <definedName name="solver_rel1" localSheetId="3" hidden="1">2</definedName>
    <definedName name="solver_rel1" localSheetId="7" hidden="1">1</definedName>
    <definedName name="solver_rel1" localSheetId="11" hidden="1">2</definedName>
    <definedName name="solver_rel2" localSheetId="3" hidden="1">2</definedName>
    <definedName name="solver_rel2" localSheetId="7" hidden="1">1</definedName>
    <definedName name="solver_rel2" localSheetId="11" hidden="1">2</definedName>
    <definedName name="solver_rel3" localSheetId="3" hidden="1">2</definedName>
    <definedName name="solver_rel3" localSheetId="7" hidden="1">1</definedName>
    <definedName name="solver_rel3" localSheetId="11" hidden="1">2</definedName>
    <definedName name="solver_rel4" localSheetId="3" hidden="1">2</definedName>
    <definedName name="solver_rel4" localSheetId="7" hidden="1">1</definedName>
    <definedName name="solver_rel4" localSheetId="11" hidden="1">2</definedName>
    <definedName name="solver_rel5" localSheetId="3" hidden="1">2</definedName>
    <definedName name="solver_rel5" localSheetId="7" hidden="1">2</definedName>
    <definedName name="solver_rel5" localSheetId="11" hidden="1">1</definedName>
    <definedName name="solver_rel6" localSheetId="3" hidden="1">2</definedName>
    <definedName name="solver_rel6" localSheetId="7" hidden="1">2</definedName>
    <definedName name="solver_rel6" localSheetId="11" hidden="1">1</definedName>
    <definedName name="solver_rel7" localSheetId="3" hidden="1">2</definedName>
    <definedName name="solver_rel7" localSheetId="7" hidden="1">2</definedName>
    <definedName name="solver_rel7" localSheetId="11" hidden="1">1</definedName>
    <definedName name="solver_rhs1" localSheetId="3" hidden="1">Task1!$B$7</definedName>
    <definedName name="solver_rhs1" localSheetId="7" hidden="1">Task2!$B$7</definedName>
    <definedName name="solver_rhs1" localSheetId="11" hidden="1">Task3!$B$7</definedName>
    <definedName name="solver_rhs2" localSheetId="3" hidden="1">Task1!$C$7</definedName>
    <definedName name="solver_rhs2" localSheetId="7" hidden="1">Task2!$C$7</definedName>
    <definedName name="solver_rhs2" localSheetId="11" hidden="1">Task3!$C$7</definedName>
    <definedName name="solver_rhs3" localSheetId="3" hidden="1">Task1!$D$7</definedName>
    <definedName name="solver_rhs3" localSheetId="7" hidden="1">Task2!$D$7</definedName>
    <definedName name="solver_rhs3" localSheetId="11" hidden="1">Task3!$D$7</definedName>
    <definedName name="solver_rhs4" localSheetId="3" hidden="1">Task1!$E$7</definedName>
    <definedName name="solver_rhs4" localSheetId="7" hidden="1">Task2!$E$7</definedName>
    <definedName name="solver_rhs4" localSheetId="11" hidden="1">Task3!$E$7</definedName>
    <definedName name="solver_rhs5" localSheetId="3" hidden="1">Task1!$H$2</definedName>
    <definedName name="solver_rhs5" localSheetId="7" hidden="1">Task2!$H$2</definedName>
    <definedName name="solver_rhs5" localSheetId="11" hidden="1">Task3!$H$2</definedName>
    <definedName name="solver_rhs6" localSheetId="3" hidden="1">Task1!$H$3</definedName>
    <definedName name="solver_rhs6" localSheetId="7" hidden="1">Task2!$H$3</definedName>
    <definedName name="solver_rhs6" localSheetId="11" hidden="1">Task3!$H$3</definedName>
    <definedName name="solver_rhs7" localSheetId="3" hidden="1">Task1!$H$4</definedName>
    <definedName name="solver_rhs7" localSheetId="7" hidden="1">Task2!$H$4</definedName>
    <definedName name="solver_rhs7" localSheetId="11" hidden="1">Task3!$H$4</definedName>
    <definedName name="solver_rlx" localSheetId="3" hidden="1">2</definedName>
    <definedName name="solver_rlx" localSheetId="7" hidden="1">2</definedName>
    <definedName name="solver_rlx" localSheetId="11" hidden="1">2</definedName>
    <definedName name="solver_rsd" localSheetId="3" hidden="1">0</definedName>
    <definedName name="solver_rsd" localSheetId="7" hidden="1">0</definedName>
    <definedName name="solver_rsd" localSheetId="11" hidden="1">0</definedName>
    <definedName name="solver_scl" localSheetId="3" hidden="1">2</definedName>
    <definedName name="solver_scl" localSheetId="7" hidden="1">2</definedName>
    <definedName name="solver_scl" localSheetId="11" hidden="1">2</definedName>
    <definedName name="solver_sho" localSheetId="2" hidden="1">2</definedName>
    <definedName name="solver_sho" localSheetId="6" hidden="1">2</definedName>
    <definedName name="solver_sho" localSheetId="10" hidden="1">2</definedName>
    <definedName name="solver_sho" localSheetId="3" hidden="1">2</definedName>
    <definedName name="solver_sho" localSheetId="7" hidden="1">2</definedName>
    <definedName name="solver_sho" localSheetId="11" hidden="1">2</definedName>
    <definedName name="solver_ssz" localSheetId="3" hidden="1">100</definedName>
    <definedName name="solver_ssz" localSheetId="7" hidden="1">100</definedName>
    <definedName name="solver_ssz" localSheetId="11" hidden="1">100</definedName>
    <definedName name="solver_tim" localSheetId="3" hidden="1">2147483647</definedName>
    <definedName name="solver_tim" localSheetId="7" hidden="1">2147483647</definedName>
    <definedName name="solver_tim" localSheetId="11" hidden="1">2147483647</definedName>
    <definedName name="solver_tol" localSheetId="3" hidden="1">0.01</definedName>
    <definedName name="solver_tol" localSheetId="7" hidden="1">0.01</definedName>
    <definedName name="solver_tol" localSheetId="11" hidden="1">0.01</definedName>
    <definedName name="solver_typ" localSheetId="3" hidden="1">2</definedName>
    <definedName name="solver_typ" localSheetId="7" hidden="1">2</definedName>
    <definedName name="solver_typ" localSheetId="11" hidden="1">2</definedName>
    <definedName name="solver_val" localSheetId="3" hidden="1">0</definedName>
    <definedName name="solver_val" localSheetId="7" hidden="1">0</definedName>
    <definedName name="solver_val" localSheetId="11" hidden="1">0</definedName>
    <definedName name="solver_ver" localSheetId="3" hidden="1">3</definedName>
    <definedName name="solver_ver" localSheetId="7" hidden="1">3</definedName>
    <definedName name="solver_ver" localSheetId="11" hidden="1">3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18" l="1"/>
  <c r="E5" i="18"/>
  <c r="D5" i="18"/>
  <c r="C5" i="18"/>
  <c r="B5" i="18"/>
  <c r="F4" i="18"/>
  <c r="F3" i="18"/>
  <c r="F2" i="18"/>
  <c r="G7" i="14"/>
  <c r="E5" i="14"/>
  <c r="D5" i="14"/>
  <c r="C5" i="14"/>
  <c r="B5" i="14"/>
  <c r="F4" i="14"/>
  <c r="F3" i="14"/>
  <c r="F2" i="14"/>
  <c r="G7" i="1"/>
  <c r="B5" i="1"/>
  <c r="C5" i="1"/>
  <c r="D5" i="1"/>
  <c r="E5" i="1"/>
  <c r="F2" i="1"/>
  <c r="F3" i="1"/>
  <c r="F4" i="1"/>
</calcChain>
</file>

<file path=xl/sharedStrings.xml><?xml version="1.0" encoding="utf-8"?>
<sst xmlns="http://schemas.openxmlformats.org/spreadsheetml/2006/main" count="720" uniqueCount="123">
  <si>
    <t>B1</t>
  </si>
  <si>
    <t>B2</t>
  </si>
  <si>
    <t>B3</t>
  </si>
  <si>
    <t>B4</t>
  </si>
  <si>
    <t>Сума</t>
  </si>
  <si>
    <t>Наявність</t>
  </si>
  <si>
    <t>A1</t>
  </si>
  <si>
    <t>A2</t>
  </si>
  <si>
    <t>A3</t>
  </si>
  <si>
    <t>Cума</t>
  </si>
  <si>
    <t>Знак</t>
  </si>
  <si>
    <t>=</t>
  </si>
  <si>
    <t>Потреба</t>
  </si>
  <si>
    <t>Матриця ефективності Су</t>
  </si>
  <si>
    <t>Матриця нижніх границь xy</t>
  </si>
  <si>
    <t>Матриця верхніх границь xy</t>
  </si>
  <si>
    <t>Microsoft Excel 16.0 Answer Report</t>
  </si>
  <si>
    <t>Worksheet: [lab7.xlsx]Task1</t>
  </si>
  <si>
    <t>Result: Solver found a solution.  All Constraints and optimality conditions are satisfied.</t>
  </si>
  <si>
    <t>Solver Engine</t>
  </si>
  <si>
    <t>Iterations: 11 Subproblems: 0</t>
  </si>
  <si>
    <t>Solver Options</t>
  </si>
  <si>
    <t>Max Time Unlimited,  Iterations Unlimited, Precision 0.000001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</si>
  <si>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</si>
  <si>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</si>
  <si>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</si>
  <si>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</si>
  <si>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</si>
  <si>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</si>
  <si>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</si>
  <si>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</si>
  <si>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</si>
  <si>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</si>
  <si>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</si>
  <si>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</si>
  <si>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</si>
  <si>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$B$2</t>
  </si>
  <si>
    <t>A1 B1</t>
  </si>
  <si>
    <t>Contin</t>
  </si>
  <si>
    <t>$C$2</t>
  </si>
  <si>
    <t>A1 B2</t>
  </si>
  <si>
    <t>$D$2</t>
  </si>
  <si>
    <t>A1 B3</t>
  </si>
  <si>
    <t>$E$2</t>
  </si>
  <si>
    <t>A1 B4</t>
  </si>
  <si>
    <t>$B$3</t>
  </si>
  <si>
    <t>A2 B1</t>
  </si>
  <si>
    <t>$C$3</t>
  </si>
  <si>
    <t>A2 B2</t>
  </si>
  <si>
    <t>$D$3</t>
  </si>
  <si>
    <t>A2 B3</t>
  </si>
  <si>
    <t>$E$3</t>
  </si>
  <si>
    <t>A2 B4</t>
  </si>
  <si>
    <t>$B$4</t>
  </si>
  <si>
    <t>A3 B1</t>
  </si>
  <si>
    <t>$C$4</t>
  </si>
  <si>
    <t>A3 B2</t>
  </si>
  <si>
    <t>$D$4</t>
  </si>
  <si>
    <t>A3 B3</t>
  </si>
  <si>
    <t>$E$4</t>
  </si>
  <si>
    <t>A3 B4</t>
  </si>
  <si>
    <t>$B$5</t>
  </si>
  <si>
    <t>Cума B1</t>
  </si>
  <si>
    <t>$C$5</t>
  </si>
  <si>
    <t>Cума B2</t>
  </si>
  <si>
    <t>$D$5</t>
  </si>
  <si>
    <t>Cума B3</t>
  </si>
  <si>
    <t>$E$5</t>
  </si>
  <si>
    <t>Cума B4</t>
  </si>
  <si>
    <t>$F$2</t>
  </si>
  <si>
    <t>A1 Сума</t>
  </si>
  <si>
    <t>$F$2=$H$2</t>
  </si>
  <si>
    <t>Binding</t>
  </si>
  <si>
    <t>$F$3</t>
  </si>
  <si>
    <t>A2 Сума</t>
  </si>
  <si>
    <t>$F$3=$H$3</t>
  </si>
  <si>
    <t>$F$4</t>
  </si>
  <si>
    <t>A3 Сума</t>
  </si>
  <si>
    <t>$F$4=$H$4</t>
  </si>
  <si>
    <t>$C$5=$C$7</t>
  </si>
  <si>
    <t>$D$5=$D$7</t>
  </si>
  <si>
    <t>$E$5=$E$7</t>
  </si>
  <si>
    <t>$B$5=$B$7</t>
  </si>
  <si>
    <t>Microsoft Excel 16.0 Sensitivity Report</t>
  </si>
  <si>
    <t>Final</t>
  </si>
  <si>
    <t>Value</t>
  </si>
  <si>
    <t>Reduced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</si>
  <si>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</si>
  <si>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</si>
  <si>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</si>
  <si>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</si>
  <si>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</si>
  <si>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</si>
  <si>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</si>
  <si>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Engine: Simplex LP</t>
  </si>
  <si>
    <t>Cost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</si>
  <si>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</si>
  <si>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</si>
  <si>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</si>
  <si>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</si>
  <si>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</si>
  <si>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</si>
  <si>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</si>
  <si>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</si>
  <si>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ЦФ</t>
  </si>
  <si>
    <t>Solution Time: 0.016 Seconds.</t>
  </si>
  <si>
    <t>Iterations: 10 Subproblems: 0</t>
  </si>
  <si>
    <t>$G$7</t>
  </si>
  <si>
    <t>Потреба ЦФ</t>
  </si>
  <si>
    <t>Report Created: 5/13/2026 8:45:50 AM</t>
  </si>
  <si>
    <t>Solution Time: 0.031 Seconds.</t>
  </si>
  <si>
    <t>Worksheet: [lab7.xlsx]Task2</t>
  </si>
  <si>
    <t>Report Created: 5/13/2026 8:51:12 AM</t>
  </si>
  <si>
    <t>$B$5&lt;=$B$7</t>
  </si>
  <si>
    <t>$C$5&lt;=$C$7</t>
  </si>
  <si>
    <t>$D$5&lt;=$D$7</t>
  </si>
  <si>
    <t>$E$5&lt;=$E$7</t>
  </si>
  <si>
    <t>Not Binding</t>
  </si>
  <si>
    <t>Worksheet: [lab7.xlsx]Task3</t>
  </si>
  <si>
    <t>$F$2&lt;=$H$2</t>
  </si>
  <si>
    <t>$F$3&lt;=$H$3</t>
  </si>
  <si>
    <t>$F$4&lt;=$H$4</t>
  </si>
  <si>
    <t>Report Created: 5/13/2026 8:57:13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</si>
</sst>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4"/>
      <name val="Times New Roman"/>
      <family val="1"/>
      <charset val="1"/>
    </font>
    <font>
      <sz val="11"/>
      <color theme="1"/>
      <name val="Arial"/>
      <family val="2"/>
      <charset val="204"/>
      <scheme val="minor"/>
    </font>
    <font>
      <b/>
      <sz val="10"/>
      <name val="Arial"/>
      <family val="2"/>
    </font>
    <font>
      <b/>
      <sz val="10"/>
      <color indexed="1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0" xfId="0" applyFont="1" applyAlignment="1" applyProtection="1"/>
    <xf numFmtId="0" fontId="1" fillId="0" borderId="1" xfId="0" applyFont="1" applyBorder="1" applyAlignment="1" applyProtection="1">
      <alignment horizontal="center" vertical="center"/>
    </xf>
    <xf numFmtId="0" fontId="2" fillId="0" borderId="1" xfId="1" applyBorder="1" applyAlignment="1">
      <alignment horizontal="center" vertical="center"/>
    </xf>
    <xf numFmtId="0" fontId="3" fillId="0" borderId="0" xfId="0" applyFont="1"/>
    <xf numFmtId="0" fontId="2" fillId="0" borderId="7" xfId="1" applyBorder="1" applyAlignment="1">
      <alignment horizontal="center" vertical="center"/>
    </xf>
    <xf numFmtId="0" fontId="0" fillId="0" borderId="5" xfId="0" applyFill="1" applyBorder="1" applyAlignment="1"/>
    <xf numFmtId="0" fontId="4" fillId="0" borderId="4" xfId="0" applyFont="1" applyFill="1" applyBorder="1" applyAlignment="1">
      <alignment horizontal="center"/>
    </xf>
    <xf numFmtId="0" fontId="0" fillId="0" borderId="6" xfId="0" applyFill="1" applyBorder="1" applyAlignment="1"/>
    <xf numFmtId="0" fontId="0" fillId="0" borderId="5" xfId="0" applyNumberFormat="1" applyFill="1" applyBorder="1" applyAlignment="1"/>
    <xf numFmtId="0" fontId="0" fillId="0" borderId="6" xfId="0" applyNumberFormat="1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2" fillId="0" borderId="0" xfId="1" applyBorder="1" applyAlignment="1">
      <alignment horizontal="center" vertical="center"/>
    </xf>
  </cellXfs>
  <cellStyles count="2">
    <cellStyle name="Normal" xfId="0" builtinId="0"/>
    <cellStyle name="Normal 2" xfId="1" xr:uid="{19444242-278C-4A6A-A93B-B471542494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1C536-AC16-43C5-99CF-AA18093D1281}">
  <dimension ref="A1:G43"/>
  <sheetViews>
    <sheetView showGridLines="0" zoomScale="70" zoomScaleNormal="70" workbookViewId="0">
      <selection activeCell="X27" sqref="X27"/>
    </sheetView>
  </sheetViews>
  <sheetFormatPr defaultRowHeight="13.2" x14ac:dyDescent="0.25"/>
  <cols>
    <col min="1" max="1" width="2.33203125" customWidth="1"/>
    <col min="2" max="2" width="5.33203125" bestFit="1" customWidth="1"/>
    <col min="3" max="3" width="11.5546875" bestFit="1" customWidth="1"/>
    <col min="4" max="4" width="13.21875" bestFit="1" customWidth="1"/>
    <col min="5" max="5" width="10.77734375" bestFit="1" customWidth="1"/>
    <col min="6" max="6" width="7.109375" bestFit="1" customWidth="1"/>
    <col min="7" max="7" width="5.6640625" bestFit="1" customWidth="1"/>
  </cols>
  <sheetData>
    <row r="1" spans="1:5" x14ac:dyDescent="0.25">
      <c r="A1" s="4" t="s">
        <v>16</v>
      </c>
    </row>
    <row r="2" spans="1:5" x14ac:dyDescent="0.25">
      <c r="A2" s="4" t="s">
        <v>17</v>
      </c>
    </row>
    <row r="3" spans="1:5" x14ac:dyDescent="0.25">
      <c r="A3" s="4" t="s">
        <v>109</v>
      </c>
    </row>
    <row r="4" spans="1:5" x14ac:dyDescent="0.25">
      <c r="A4" s="4" t="s">
        <v>18</v>
      </c>
    </row>
    <row r="5" spans="1:5" x14ac:dyDescent="0.25">
      <c r="A5" s="4" t="s">
        <v>19</v>
      </c>
    </row>
    <row r="6" spans="1:5" x14ac:dyDescent="0.25">
      <c r="A6" s="4"/>
      <c r="B6" t="s">
        <v>94</v>
      </c>
    </row>
    <row r="7" spans="1:5" x14ac:dyDescent="0.25">
      <c r="A7" s="4"/>
      <c r="B7" t="s">
        <v>110</v>
      </c>
    </row>
    <row r="8" spans="1:5" x14ac:dyDescent="0.25">
      <c r="A8" s="4"/>
      <c r="B8" t="s">
        <v>106</v>
      </c>
    </row>
    <row r="9" spans="1:5" x14ac:dyDescent="0.25">
      <c r="A9" s="4" t="s">
        <v>21</v>
      </c>
    </row>
    <row r="10" spans="1:5" x14ac:dyDescent="0.25">
      <c r="B10" t="s">
        <v>22</v>
      </c>
    </row>
    <row r="11" spans="1:5" x14ac:dyDescent="0.25">
      <c r="B11" t="s">
        <v>23</v>
      </c>
    </row>
    <row r="14" spans="1:5" ht="13.8" thickBot="1" x14ac:dyDescent="0.3">
      <c r="A14" t="s">
        <v>24</v>
      </c>
    </row>
    <row r="15" spans="1:5" ht="13.8" thickBot="1" x14ac:dyDescent="0.3">
      <c r="B15" s="7" t="s">
        <v>25</v>
      </c>
      <c r="C15" s="7" t="s">
        <v>26</v>
      </c>
      <c r="D15" s="7" t="s">
        <v>27</v>
      </c>
      <c r="E15" s="7" t="s">
        <v>28</v>
      </c>
    </row>
    <row r="16" spans="1:5" ht="13.8" thickBot="1" x14ac:dyDescent="0.3">
      <c r="B16" s="6" t="s">
        <v>107</v>
      </c>
      <c r="C16" s="6" t="s">
        <v>108</v>
      </c>
      <c r="D16" s="9">
        <v>410</v>
      </c>
      <c r="E16" s="9">
        <v>410</v>
      </c>
    </row>
    <row r="19" spans="1:6" ht="13.8" thickBot="1" x14ac:dyDescent="0.3">
      <c r="A19" t="s">
        <v>29</v>
      </c>
    </row>
    <row r="20" spans="1:6" ht="13.8" thickBot="1" x14ac:dyDescent="0.3">
      <c r="B20" s="7" t="s">
        <v>25</v>
      </c>
      <c r="C20" s="7" t="s">
        <v>26</v>
      </c>
      <c r="D20" s="7" t="s">
        <v>27</v>
      </c>
      <c r="E20" s="7" t="s">
        <v>28</v>
      </c>
      <c r="F20" s="7" t="s">
        <v>30</v>
      </c>
    </row>
    <row r="21" spans="1:6" x14ac:dyDescent="0.25">
      <c r="B21" s="8" t="s">
        <v>36</v>
      </c>
      <c r="C21" s="8" t="s">
        <v>37</v>
      </c>
      <c r="D21" s="10">
        <v>40</v>
      </c>
      <c r="E21" s="10">
        <v>40</v>
      </c>
      <c r="F21" s="8" t="s">
        <v>38</v>
      </c>
    </row>
    <row r="22" spans="1:6" x14ac:dyDescent="0.25">
      <c r="B22" s="8" t="s">
        <v>39</v>
      </c>
      <c r="C22" s="8" t="s">
        <v>40</v>
      </c>
      <c r="D22" s="10">
        <v>5</v>
      </c>
      <c r="E22" s="10">
        <v>5</v>
      </c>
      <c r="F22" s="8" t="s">
        <v>38</v>
      </c>
    </row>
    <row r="23" spans="1:6" x14ac:dyDescent="0.25">
      <c r="B23" s="8" t="s">
        <v>41</v>
      </c>
      <c r="C23" s="8" t="s">
        <v>42</v>
      </c>
      <c r="D23" s="10">
        <v>25</v>
      </c>
      <c r="E23" s="10">
        <v>25</v>
      </c>
      <c r="F23" s="8" t="s">
        <v>38</v>
      </c>
    </row>
    <row r="24" spans="1:6" x14ac:dyDescent="0.25">
      <c r="B24" s="8" t="s">
        <v>43</v>
      </c>
      <c r="C24" s="8" t="s">
        <v>44</v>
      </c>
      <c r="D24" s="10">
        <v>0</v>
      </c>
      <c r="E24" s="10">
        <v>0</v>
      </c>
      <c r="F24" s="8" t="s">
        <v>38</v>
      </c>
    </row>
    <row r="25" spans="1:6" x14ac:dyDescent="0.25">
      <c r="B25" s="8" t="s">
        <v>45</v>
      </c>
      <c r="C25" s="8" t="s">
        <v>46</v>
      </c>
      <c r="D25" s="10">
        <v>0</v>
      </c>
      <c r="E25" s="10">
        <v>0</v>
      </c>
      <c r="F25" s="8" t="s">
        <v>38</v>
      </c>
    </row>
    <row r="26" spans="1:6" x14ac:dyDescent="0.25">
      <c r="B26" s="8" t="s">
        <v>47</v>
      </c>
      <c r="C26" s="8" t="s">
        <v>48</v>
      </c>
      <c r="D26" s="10">
        <v>55</v>
      </c>
      <c r="E26" s="10">
        <v>55</v>
      </c>
      <c r="F26" s="8" t="s">
        <v>38</v>
      </c>
    </row>
    <row r="27" spans="1:6" x14ac:dyDescent="0.25">
      <c r="B27" s="8" t="s">
        <v>49</v>
      </c>
      <c r="C27" s="8" t="s">
        <v>50</v>
      </c>
      <c r="D27" s="10">
        <v>0</v>
      </c>
      <c r="E27" s="10">
        <v>0</v>
      </c>
      <c r="F27" s="8" t="s">
        <v>38</v>
      </c>
    </row>
    <row r="28" spans="1:6" x14ac:dyDescent="0.25">
      <c r="B28" s="8" t="s">
        <v>51</v>
      </c>
      <c r="C28" s="8" t="s">
        <v>52</v>
      </c>
      <c r="D28" s="10">
        <v>25</v>
      </c>
      <c r="E28" s="10">
        <v>25</v>
      </c>
      <c r="F28" s="8" t="s">
        <v>38</v>
      </c>
    </row>
    <row r="29" spans="1:6" x14ac:dyDescent="0.25">
      <c r="B29" s="8" t="s">
        <v>53</v>
      </c>
      <c r="C29" s="8" t="s">
        <v>54</v>
      </c>
      <c r="D29" s="10">
        <v>0</v>
      </c>
      <c r="E29" s="10">
        <v>0</v>
      </c>
      <c r="F29" s="8" t="s">
        <v>38</v>
      </c>
    </row>
    <row r="30" spans="1:6" x14ac:dyDescent="0.25">
      <c r="B30" s="8" t="s">
        <v>55</v>
      </c>
      <c r="C30" s="8" t="s">
        <v>56</v>
      </c>
      <c r="D30" s="10">
        <v>0</v>
      </c>
      <c r="E30" s="10">
        <v>0</v>
      </c>
      <c r="F30" s="8" t="s">
        <v>38</v>
      </c>
    </row>
    <row r="31" spans="1:6" x14ac:dyDescent="0.25">
      <c r="B31" s="8" t="s">
        <v>57</v>
      </c>
      <c r="C31" s="8" t="s">
        <v>58</v>
      </c>
      <c r="D31" s="10">
        <v>0</v>
      </c>
      <c r="E31" s="10">
        <v>0</v>
      </c>
      <c r="F31" s="8" t="s">
        <v>38</v>
      </c>
    </row>
    <row r="32" spans="1:6" ht="13.8" thickBot="1" x14ac:dyDescent="0.3">
      <c r="B32" s="6" t="s">
        <v>59</v>
      </c>
      <c r="C32" s="6" t="s">
        <v>60</v>
      </c>
      <c r="D32" s="9">
        <v>50</v>
      </c>
      <c r="E32" s="9">
        <v>50</v>
      </c>
      <c r="F32" s="6" t="s">
        <v>38</v>
      </c>
    </row>
    <row r="35" spans="1:7" ht="13.8" thickBot="1" x14ac:dyDescent="0.3">
      <c r="A35" t="s">
        <v>31</v>
      </c>
    </row>
    <row r="36" spans="1:7" ht="13.8" thickBot="1" x14ac:dyDescent="0.3">
      <c r="B36" s="7" t="s">
        <v>25</v>
      </c>
      <c r="C36" s="7" t="s">
        <v>26</v>
      </c>
      <c r="D36" s="7" t="s">
        <v>32</v>
      </c>
      <c r="E36" s="7" t="s">
        <v>33</v>
      </c>
      <c r="F36" s="7" t="s">
        <v>34</v>
      </c>
      <c r="G36" s="7" t="s">
        <v>35</v>
      </c>
    </row>
    <row r="37" spans="1:7" x14ac:dyDescent="0.25">
      <c r="B37" s="8" t="s">
        <v>61</v>
      </c>
      <c r="C37" s="8" t="s">
        <v>62</v>
      </c>
      <c r="D37" s="10">
        <v>40</v>
      </c>
      <c r="E37" s="8" t="s">
        <v>82</v>
      </c>
      <c r="F37" s="8" t="s">
        <v>72</v>
      </c>
      <c r="G37" s="8">
        <v>0</v>
      </c>
    </row>
    <row r="38" spans="1:7" x14ac:dyDescent="0.25">
      <c r="B38" s="8" t="s">
        <v>63</v>
      </c>
      <c r="C38" s="8" t="s">
        <v>64</v>
      </c>
      <c r="D38" s="10">
        <v>60</v>
      </c>
      <c r="E38" s="8" t="s">
        <v>79</v>
      </c>
      <c r="F38" s="8" t="s">
        <v>72</v>
      </c>
      <c r="G38" s="8">
        <v>0</v>
      </c>
    </row>
    <row r="39" spans="1:7" x14ac:dyDescent="0.25">
      <c r="B39" s="8" t="s">
        <v>65</v>
      </c>
      <c r="C39" s="8" t="s">
        <v>66</v>
      </c>
      <c r="D39" s="10">
        <v>25</v>
      </c>
      <c r="E39" s="8" t="s">
        <v>80</v>
      </c>
      <c r="F39" s="8" t="s">
        <v>72</v>
      </c>
      <c r="G39" s="8">
        <v>0</v>
      </c>
    </row>
    <row r="40" spans="1:7" x14ac:dyDescent="0.25">
      <c r="B40" s="8" t="s">
        <v>67</v>
      </c>
      <c r="C40" s="8" t="s">
        <v>68</v>
      </c>
      <c r="D40" s="10">
        <v>75</v>
      </c>
      <c r="E40" s="8" t="s">
        <v>81</v>
      </c>
      <c r="F40" s="8" t="s">
        <v>72</v>
      </c>
      <c r="G40" s="8">
        <v>0</v>
      </c>
    </row>
    <row r="41" spans="1:7" x14ac:dyDescent="0.25">
      <c r="B41" s="8" t="s">
        <v>69</v>
      </c>
      <c r="C41" s="8" t="s">
        <v>70</v>
      </c>
      <c r="D41" s="10">
        <v>70</v>
      </c>
      <c r="E41" s="8" t="s">
        <v>71</v>
      </c>
      <c r="F41" s="8" t="s">
        <v>72</v>
      </c>
      <c r="G41" s="8">
        <v>0</v>
      </c>
    </row>
    <row r="42" spans="1:7" x14ac:dyDescent="0.25">
      <c r="B42" s="8" t="s">
        <v>73</v>
      </c>
      <c r="C42" s="8" t="s">
        <v>74</v>
      </c>
      <c r="D42" s="10">
        <v>80</v>
      </c>
      <c r="E42" s="8" t="s">
        <v>75</v>
      </c>
      <c r="F42" s="8" t="s">
        <v>72</v>
      </c>
      <c r="G42" s="8">
        <v>0</v>
      </c>
    </row>
    <row r="43" spans="1:7" ht="13.8" thickBot="1" x14ac:dyDescent="0.3">
      <c r="B43" s="6" t="s">
        <v>76</v>
      </c>
      <c r="C43" s="6" t="s">
        <v>77</v>
      </c>
      <c r="D43" s="9">
        <v>50</v>
      </c>
      <c r="E43" s="6" t="s">
        <v>78</v>
      </c>
      <c r="F43" s="6" t="s">
        <v>72</v>
      </c>
      <c r="G43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36674-CE63-4F71-B388-BBF11E8B310A}">
  <dimension ref="A1:H31"/>
  <sheetViews>
    <sheetView showGridLines="0" zoomScale="85" zoomScaleNormal="85" workbookViewId="0">
      <selection activeCell="N19" sqref="N19"/>
    </sheetView>
  </sheetViews>
  <sheetFormatPr defaultRowHeight="13.2" x14ac:dyDescent="0.25"/>
  <cols>
    <col min="1" max="1" width="2.33203125" customWidth="1"/>
    <col min="2" max="2" width="5.33203125" bestFit="1" customWidth="1"/>
    <col min="3" max="3" width="8.33203125" bestFit="1" customWidth="1"/>
    <col min="4" max="4" width="5.77734375" bestFit="1" customWidth="1"/>
    <col min="5" max="5" width="8.6640625" bestFit="1" customWidth="1"/>
    <col min="6" max="6" width="10.21875" bestFit="1" customWidth="1"/>
    <col min="7" max="8" width="9.21875" bestFit="1" customWidth="1"/>
  </cols>
  <sheetData>
    <row r="1" spans="1:8" x14ac:dyDescent="0.25">
      <c r="A1" s="4" t="s">
        <v>83</v>
      </c>
    </row>
    <row r="2" spans="1:8" x14ac:dyDescent="0.25">
      <c r="A2" s="4" t="s">
        <v>17</v>
      </c>
    </row>
    <row r="3" spans="1:8" x14ac:dyDescent="0.25">
      <c r="A3" s="4" t="s">
        <v>109</v>
      </c>
    </row>
    <row r="6" spans="1:8" ht="13.8" thickBot="1" x14ac:dyDescent="0.3">
      <c r="A6" t="s">
        <v>29</v>
      </c>
    </row>
    <row r="7" spans="1:8" x14ac:dyDescent="0.25">
      <c r="B7" s="11"/>
      <c r="C7" s="11"/>
      <c r="D7" s="11" t="s">
        <v>84</v>
      </c>
      <c r="E7" s="11" t="s">
        <v>86</v>
      </c>
      <c r="F7" s="11" t="s">
        <v>88</v>
      </c>
      <c r="G7" s="11" t="s">
        <v>97</v>
      </c>
      <c r="H7" s="11" t="s">
        <v>97</v>
      </c>
    </row>
    <row r="8" spans="1:8" ht="13.8" thickBot="1" x14ac:dyDescent="0.3">
      <c r="B8" s="12" t="s">
        <v>25</v>
      </c>
      <c r="C8" s="12" t="s">
        <v>26</v>
      </c>
      <c r="D8" s="12" t="s">
        <v>85</v>
      </c>
      <c r="E8" s="12" t="s">
        <v>95</v>
      </c>
      <c r="F8" s="12" t="s">
        <v>96</v>
      </c>
      <c r="G8" s="12" t="s">
        <v>98</v>
      </c>
      <c r="H8" s="12" t="s">
        <v>99</v>
      </c>
    </row>
    <row r="9" spans="1:8" x14ac:dyDescent="0.25">
      <c r="B9" s="8" t="s">
        <v>36</v>
      </c>
      <c r="C9" s="8" t="s">
        <v>37</v>
      </c>
      <c r="D9" s="8">
        <v>40</v>
      </c>
      <c r="E9" s="8">
        <v>0</v>
      </c>
      <c r="F9" s="8">
        <v>2</v>
      </c>
      <c r="G9" s="8">
        <v>2</v>
      </c>
      <c r="H9" s="8">
        <v>1E+30</v>
      </c>
    </row>
    <row r="10" spans="1:8" x14ac:dyDescent="0.25">
      <c r="B10" s="8" t="s">
        <v>39</v>
      </c>
      <c r="C10" s="8" t="s">
        <v>40</v>
      </c>
      <c r="D10" s="8">
        <v>5</v>
      </c>
      <c r="E10" s="8">
        <v>0</v>
      </c>
      <c r="F10" s="8">
        <v>4</v>
      </c>
      <c r="G10" s="8">
        <v>1</v>
      </c>
      <c r="H10" s="8">
        <v>2</v>
      </c>
    </row>
    <row r="11" spans="1:8" x14ac:dyDescent="0.25">
      <c r="B11" s="8" t="s">
        <v>41</v>
      </c>
      <c r="C11" s="8" t="s">
        <v>42</v>
      </c>
      <c r="D11" s="8">
        <v>25</v>
      </c>
      <c r="E11" s="8">
        <v>0</v>
      </c>
      <c r="F11" s="8">
        <v>1</v>
      </c>
      <c r="G11" s="8">
        <v>5</v>
      </c>
      <c r="H11" s="8">
        <v>1E+30</v>
      </c>
    </row>
    <row r="12" spans="1:8" x14ac:dyDescent="0.25">
      <c r="B12" s="8" t="s">
        <v>43</v>
      </c>
      <c r="C12" s="8" t="s">
        <v>44</v>
      </c>
      <c r="D12" s="8">
        <v>0</v>
      </c>
      <c r="E12" s="8">
        <v>1</v>
      </c>
      <c r="F12" s="8">
        <v>6</v>
      </c>
      <c r="G12" s="8">
        <v>1E+30</v>
      </c>
      <c r="H12" s="8">
        <v>1</v>
      </c>
    </row>
    <row r="13" spans="1:8" x14ac:dyDescent="0.25">
      <c r="B13" s="8" t="s">
        <v>45</v>
      </c>
      <c r="C13" s="8" t="s">
        <v>46</v>
      </c>
      <c r="D13" s="8">
        <v>0</v>
      </c>
      <c r="E13" s="8">
        <v>2</v>
      </c>
      <c r="F13" s="8">
        <v>2</v>
      </c>
      <c r="G13" s="8">
        <v>1E+30</v>
      </c>
      <c r="H13" s="8">
        <v>2</v>
      </c>
    </row>
    <row r="14" spans="1:8" x14ac:dyDescent="0.25">
      <c r="B14" s="8" t="s">
        <v>47</v>
      </c>
      <c r="C14" s="8" t="s">
        <v>48</v>
      </c>
      <c r="D14" s="8">
        <v>55</v>
      </c>
      <c r="E14" s="8">
        <v>0</v>
      </c>
      <c r="F14" s="8">
        <v>2</v>
      </c>
      <c r="G14" s="8">
        <v>1</v>
      </c>
      <c r="H14" s="8">
        <v>1</v>
      </c>
    </row>
    <row r="15" spans="1:8" x14ac:dyDescent="0.25">
      <c r="B15" s="8" t="s">
        <v>49</v>
      </c>
      <c r="C15" s="8" t="s">
        <v>50</v>
      </c>
      <c r="D15" s="8">
        <v>0</v>
      </c>
      <c r="E15" s="8">
        <v>5</v>
      </c>
      <c r="F15" s="8">
        <v>4</v>
      </c>
      <c r="G15" s="8">
        <v>1E+30</v>
      </c>
      <c r="H15" s="8">
        <v>5</v>
      </c>
    </row>
    <row r="16" spans="1:8" x14ac:dyDescent="0.25">
      <c r="B16" s="8" t="s">
        <v>51</v>
      </c>
      <c r="C16" s="8" t="s">
        <v>52</v>
      </c>
      <c r="D16" s="8">
        <v>25</v>
      </c>
      <c r="E16" s="8">
        <v>0</v>
      </c>
      <c r="F16" s="8">
        <v>3</v>
      </c>
      <c r="G16" s="8">
        <v>1</v>
      </c>
      <c r="H16" s="8">
        <v>1</v>
      </c>
    </row>
    <row r="17" spans="1:8" x14ac:dyDescent="0.25">
      <c r="B17" s="8" t="s">
        <v>53</v>
      </c>
      <c r="C17" s="8" t="s">
        <v>54</v>
      </c>
      <c r="D17" s="8">
        <v>0</v>
      </c>
      <c r="E17" s="8">
        <v>2</v>
      </c>
      <c r="F17" s="8">
        <v>1</v>
      </c>
      <c r="G17" s="8">
        <v>1E+30</v>
      </c>
      <c r="H17" s="8">
        <v>2</v>
      </c>
    </row>
    <row r="18" spans="1:8" x14ac:dyDescent="0.25">
      <c r="B18" s="8" t="s">
        <v>55</v>
      </c>
      <c r="C18" s="8" t="s">
        <v>56</v>
      </c>
      <c r="D18" s="8">
        <v>0</v>
      </c>
      <c r="E18" s="8">
        <v>1</v>
      </c>
      <c r="F18" s="8">
        <v>2</v>
      </c>
      <c r="G18" s="8">
        <v>1E+30</v>
      </c>
      <c r="H18" s="8">
        <v>1</v>
      </c>
    </row>
    <row r="19" spans="1:8" x14ac:dyDescent="0.25">
      <c r="B19" s="8" t="s">
        <v>57</v>
      </c>
      <c r="C19" s="8" t="s">
        <v>58</v>
      </c>
      <c r="D19" s="8">
        <v>0</v>
      </c>
      <c r="E19" s="8">
        <v>5</v>
      </c>
      <c r="F19" s="8">
        <v>3</v>
      </c>
      <c r="G19" s="8">
        <v>1E+30</v>
      </c>
      <c r="H19" s="8">
        <v>5</v>
      </c>
    </row>
    <row r="20" spans="1:8" ht="13.8" thickBot="1" x14ac:dyDescent="0.3">
      <c r="B20" s="6" t="s">
        <v>59</v>
      </c>
      <c r="C20" s="6" t="s">
        <v>60</v>
      </c>
      <c r="D20" s="6">
        <v>50</v>
      </c>
      <c r="E20" s="6">
        <v>0</v>
      </c>
      <c r="F20" s="6">
        <v>2</v>
      </c>
      <c r="G20" s="6">
        <v>1</v>
      </c>
      <c r="H20" s="6">
        <v>1E+30</v>
      </c>
    </row>
    <row r="22" spans="1:8" ht="13.8" thickBot="1" x14ac:dyDescent="0.3">
      <c r="A22" t="s">
        <v>31</v>
      </c>
    </row>
    <row r="23" spans="1:8" x14ac:dyDescent="0.25">
      <c r="B23" s="11"/>
      <c r="C23" s="11"/>
      <c r="D23" s="11" t="s">
        <v>84</v>
      </c>
      <c r="E23" s="11" t="s">
        <v>100</v>
      </c>
      <c r="F23" s="11" t="s">
        <v>102</v>
      </c>
      <c r="G23" s="11" t="s">
        <v>97</v>
      </c>
      <c r="H23" s="11" t="s">
        <v>97</v>
      </c>
    </row>
    <row r="24" spans="1:8" ht="13.8" thickBot="1" x14ac:dyDescent="0.3">
      <c r="B24" s="12" t="s">
        <v>25</v>
      </c>
      <c r="C24" s="12" t="s">
        <v>26</v>
      </c>
      <c r="D24" s="12" t="s">
        <v>85</v>
      </c>
      <c r="E24" s="12" t="s">
        <v>101</v>
      </c>
      <c r="F24" s="12" t="s">
        <v>103</v>
      </c>
      <c r="G24" s="12" t="s">
        <v>98</v>
      </c>
      <c r="H24" s="12" t="s">
        <v>99</v>
      </c>
    </row>
    <row r="25" spans="1:8" x14ac:dyDescent="0.25">
      <c r="B25" s="8" t="s">
        <v>61</v>
      </c>
      <c r="C25" s="8" t="s">
        <v>62</v>
      </c>
      <c r="D25" s="8">
        <v>40</v>
      </c>
      <c r="E25" s="8">
        <v>0</v>
      </c>
      <c r="F25" s="8">
        <v>40</v>
      </c>
      <c r="G25" s="8">
        <v>0</v>
      </c>
      <c r="H25" s="8">
        <v>40</v>
      </c>
    </row>
    <row r="26" spans="1:8" x14ac:dyDescent="0.25">
      <c r="B26" s="8" t="s">
        <v>63</v>
      </c>
      <c r="C26" s="8" t="s">
        <v>64</v>
      </c>
      <c r="D26" s="8">
        <v>60</v>
      </c>
      <c r="E26" s="8">
        <v>2</v>
      </c>
      <c r="F26" s="8">
        <v>60</v>
      </c>
      <c r="G26" s="8">
        <v>0</v>
      </c>
      <c r="H26" s="8">
        <v>55</v>
      </c>
    </row>
    <row r="27" spans="1:8" x14ac:dyDescent="0.25">
      <c r="B27" s="8" t="s">
        <v>65</v>
      </c>
      <c r="C27" s="8" t="s">
        <v>66</v>
      </c>
      <c r="D27" s="8">
        <v>25</v>
      </c>
      <c r="E27" s="8">
        <v>-1</v>
      </c>
      <c r="F27" s="8">
        <v>25</v>
      </c>
      <c r="G27" s="8">
        <v>0</v>
      </c>
      <c r="H27" s="8">
        <v>25</v>
      </c>
    </row>
    <row r="28" spans="1:8" x14ac:dyDescent="0.25">
      <c r="B28" s="8" t="s">
        <v>67</v>
      </c>
      <c r="C28" s="8" t="s">
        <v>68</v>
      </c>
      <c r="D28" s="8">
        <v>75</v>
      </c>
      <c r="E28" s="8">
        <v>3</v>
      </c>
      <c r="F28" s="8">
        <v>75</v>
      </c>
      <c r="G28" s="8">
        <v>0</v>
      </c>
      <c r="H28" s="8">
        <v>25</v>
      </c>
    </row>
    <row r="29" spans="1:8" x14ac:dyDescent="0.25">
      <c r="B29" s="8" t="s">
        <v>69</v>
      </c>
      <c r="C29" s="8" t="s">
        <v>70</v>
      </c>
      <c r="D29" s="8">
        <v>70</v>
      </c>
      <c r="E29" s="8">
        <v>2</v>
      </c>
      <c r="F29" s="8">
        <v>70</v>
      </c>
      <c r="G29" s="8">
        <v>55</v>
      </c>
      <c r="H29" s="8">
        <v>0</v>
      </c>
    </row>
    <row r="30" spans="1:8" x14ac:dyDescent="0.25">
      <c r="B30" s="8" t="s">
        <v>73</v>
      </c>
      <c r="C30" s="8" t="s">
        <v>74</v>
      </c>
      <c r="D30" s="8">
        <v>80</v>
      </c>
      <c r="E30" s="8">
        <v>0</v>
      </c>
      <c r="F30" s="8">
        <v>80</v>
      </c>
      <c r="G30" s="8">
        <v>0</v>
      </c>
      <c r="H30" s="8">
        <v>1E+30</v>
      </c>
    </row>
    <row r="31" spans="1:8" ht="13.8" thickBot="1" x14ac:dyDescent="0.3">
      <c r="B31" s="6" t="s">
        <v>76</v>
      </c>
      <c r="C31" s="6" t="s">
        <v>77</v>
      </c>
      <c r="D31" s="6">
        <v>50</v>
      </c>
      <c r="E31" s="6">
        <v>-1</v>
      </c>
      <c r="F31" s="6">
        <v>50</v>
      </c>
      <c r="G31" s="6">
        <v>25</v>
      </c>
      <c r="H31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9D944-B9F3-4A94-A56F-DD0D061EE6F9}">
  <dimension ref="A1:J24"/>
  <sheetViews>
    <sheetView showGridLines="0" workbookViewId="0">
      <selection activeCell="F32" sqref="F32"/>
    </sheetView>
  </sheetViews>
  <sheetFormatPr defaultRowHeight="13.2" x14ac:dyDescent="0.25"/>
  <cols>
    <col min="1" max="1" width="2.33203125" customWidth="1"/>
    <col min="2" max="2" width="5.33203125" bestFit="1" customWidth="1"/>
    <col min="3" max="3" width="11.5546875" bestFit="1" customWidth="1"/>
    <col min="4" max="4" width="5.77734375" bestFit="1" customWidth="1"/>
    <col min="5" max="5" width="2.33203125" customWidth="1"/>
    <col min="6" max="6" width="6.44140625" bestFit="1" customWidth="1"/>
    <col min="7" max="7" width="9.109375" bestFit="1" customWidth="1"/>
    <col min="8" max="8" width="2.33203125" customWidth="1"/>
    <col min="9" max="9" width="6.33203125" bestFit="1" customWidth="1"/>
    <col min="10" max="10" width="9.109375" bestFit="1" customWidth="1"/>
  </cols>
  <sheetData>
    <row r="1" spans="1:10" x14ac:dyDescent="0.25">
      <c r="A1" s="4" t="s">
        <v>87</v>
      </c>
    </row>
    <row r="2" spans="1:10" x14ac:dyDescent="0.25">
      <c r="A2" s="4" t="s">
        <v>17</v>
      </c>
    </row>
    <row r="3" spans="1:10" x14ac:dyDescent="0.25">
      <c r="A3" s="4" t="s">
        <v>109</v>
      </c>
    </row>
    <row r="5" spans="1:10" ht="13.8" thickBot="1" x14ac:dyDescent="0.3"/>
    <row r="6" spans="1:10" x14ac:dyDescent="0.25">
      <c r="B6" s="11"/>
      <c r="C6" s="11" t="s">
        <v>88</v>
      </c>
      <c r="D6" s="11"/>
    </row>
    <row r="7" spans="1:10" ht="13.8" thickBot="1" x14ac:dyDescent="0.3">
      <c r="B7" s="12" t="s">
        <v>25</v>
      </c>
      <c r="C7" s="12" t="s">
        <v>26</v>
      </c>
      <c r="D7" s="12" t="s">
        <v>85</v>
      </c>
    </row>
    <row r="8" spans="1:10" ht="13.8" thickBot="1" x14ac:dyDescent="0.3">
      <c r="B8" s="6" t="s">
        <v>107</v>
      </c>
      <c r="C8" s="6" t="s">
        <v>108</v>
      </c>
      <c r="D8" s="9">
        <v>410</v>
      </c>
    </row>
    <row r="10" spans="1:10" ht="13.8" thickBot="1" x14ac:dyDescent="0.3"/>
    <row r="11" spans="1:10" x14ac:dyDescent="0.25">
      <c r="B11" s="11"/>
      <c r="C11" s="11" t="s">
        <v>89</v>
      </c>
      <c r="D11" s="11"/>
      <c r="F11" s="11" t="s">
        <v>90</v>
      </c>
      <c r="G11" s="11" t="s">
        <v>88</v>
      </c>
      <c r="I11" s="11" t="s">
        <v>93</v>
      </c>
      <c r="J11" s="11" t="s">
        <v>88</v>
      </c>
    </row>
    <row r="12" spans="1:10" ht="13.8" thickBot="1" x14ac:dyDescent="0.3">
      <c r="B12" s="12" t="s">
        <v>25</v>
      </c>
      <c r="C12" s="12" t="s">
        <v>26</v>
      </c>
      <c r="D12" s="12" t="s">
        <v>85</v>
      </c>
      <c r="F12" s="12" t="s">
        <v>91</v>
      </c>
      <c r="G12" s="12" t="s">
        <v>92</v>
      </c>
      <c r="I12" s="12" t="s">
        <v>91</v>
      </c>
      <c r="J12" s="12" t="s">
        <v>92</v>
      </c>
    </row>
    <row r="13" spans="1:10" x14ac:dyDescent="0.25">
      <c r="B13" s="8" t="s">
        <v>36</v>
      </c>
      <c r="C13" s="8" t="s">
        <v>37</v>
      </c>
      <c r="D13" s="10">
        <v>40</v>
      </c>
      <c r="F13" s="10">
        <v>40</v>
      </c>
      <c r="G13" s="10">
        <v>410</v>
      </c>
      <c r="I13" s="10">
        <v>40</v>
      </c>
      <c r="J13" s="10">
        <v>410</v>
      </c>
    </row>
    <row r="14" spans="1:10" x14ac:dyDescent="0.25">
      <c r="B14" s="8" t="s">
        <v>39</v>
      </c>
      <c r="C14" s="8" t="s">
        <v>40</v>
      </c>
      <c r="D14" s="10">
        <v>5</v>
      </c>
      <c r="F14" s="10">
        <v>5</v>
      </c>
      <c r="G14" s="10">
        <v>410</v>
      </c>
      <c r="I14" s="10">
        <v>5</v>
      </c>
      <c r="J14" s="10">
        <v>410</v>
      </c>
    </row>
    <row r="15" spans="1:10" x14ac:dyDescent="0.25">
      <c r="B15" s="8" t="s">
        <v>41</v>
      </c>
      <c r="C15" s="8" t="s">
        <v>42</v>
      </c>
      <c r="D15" s="10">
        <v>25</v>
      </c>
      <c r="F15" s="10">
        <v>25</v>
      </c>
      <c r="G15" s="10">
        <v>410</v>
      </c>
      <c r="I15" s="10">
        <v>25</v>
      </c>
      <c r="J15" s="10">
        <v>410</v>
      </c>
    </row>
    <row r="16" spans="1:10" x14ac:dyDescent="0.25">
      <c r="B16" s="8" t="s">
        <v>43</v>
      </c>
      <c r="C16" s="8" t="s">
        <v>44</v>
      </c>
      <c r="D16" s="10">
        <v>0</v>
      </c>
      <c r="F16" s="10">
        <v>0</v>
      </c>
      <c r="G16" s="10">
        <v>410</v>
      </c>
      <c r="I16" s="10">
        <v>0</v>
      </c>
      <c r="J16" s="10">
        <v>410</v>
      </c>
    </row>
    <row r="17" spans="2:10" x14ac:dyDescent="0.25">
      <c r="B17" s="8" t="s">
        <v>45</v>
      </c>
      <c r="C17" s="8" t="s">
        <v>46</v>
      </c>
      <c r="D17" s="10">
        <v>0</v>
      </c>
      <c r="F17" s="10">
        <v>0</v>
      </c>
      <c r="G17" s="10">
        <v>410</v>
      </c>
      <c r="I17" s="10">
        <v>0</v>
      </c>
      <c r="J17" s="10">
        <v>410</v>
      </c>
    </row>
    <row r="18" spans="2:10" x14ac:dyDescent="0.25">
      <c r="B18" s="8" t="s">
        <v>47</v>
      </c>
      <c r="C18" s="8" t="s">
        <v>48</v>
      </c>
      <c r="D18" s="10">
        <v>55</v>
      </c>
      <c r="F18" s="10">
        <v>55</v>
      </c>
      <c r="G18" s="10">
        <v>410</v>
      </c>
      <c r="I18" s="10">
        <v>55</v>
      </c>
      <c r="J18" s="10">
        <v>410</v>
      </c>
    </row>
    <row r="19" spans="2:10" x14ac:dyDescent="0.25">
      <c r="B19" s="8" t="s">
        <v>49</v>
      </c>
      <c r="C19" s="8" t="s">
        <v>50</v>
      </c>
      <c r="D19" s="10">
        <v>0</v>
      </c>
      <c r="F19" s="10">
        <v>0</v>
      </c>
      <c r="G19" s="10">
        <v>410</v>
      </c>
      <c r="I19" s="10">
        <v>0</v>
      </c>
      <c r="J19" s="10">
        <v>410</v>
      </c>
    </row>
    <row r="20" spans="2:10" x14ac:dyDescent="0.25">
      <c r="B20" s="8" t="s">
        <v>51</v>
      </c>
      <c r="C20" s="8" t="s">
        <v>52</v>
      </c>
      <c r="D20" s="10">
        <v>25</v>
      </c>
      <c r="F20" s="10">
        <v>25</v>
      </c>
      <c r="G20" s="10">
        <v>410</v>
      </c>
      <c r="I20" s="10">
        <v>25</v>
      </c>
      <c r="J20" s="10">
        <v>410</v>
      </c>
    </row>
    <row r="21" spans="2:10" x14ac:dyDescent="0.25">
      <c r="B21" s="8" t="s">
        <v>53</v>
      </c>
      <c r="C21" s="8" t="s">
        <v>54</v>
      </c>
      <c r="D21" s="10">
        <v>0</v>
      </c>
      <c r="F21" s="10">
        <v>0</v>
      </c>
      <c r="G21" s="10">
        <v>410</v>
      </c>
      <c r="I21" s="10">
        <v>0</v>
      </c>
      <c r="J21" s="10">
        <v>410</v>
      </c>
    </row>
    <row r="22" spans="2:10" x14ac:dyDescent="0.25">
      <c r="B22" s="8" t="s">
        <v>55</v>
      </c>
      <c r="C22" s="8" t="s">
        <v>56</v>
      </c>
      <c r="D22" s="10">
        <v>0</v>
      </c>
      <c r="F22" s="10">
        <v>0</v>
      </c>
      <c r="G22" s="10">
        <v>410</v>
      </c>
      <c r="I22" s="10">
        <v>0</v>
      </c>
      <c r="J22" s="10">
        <v>410</v>
      </c>
    </row>
    <row r="23" spans="2:10" x14ac:dyDescent="0.25">
      <c r="B23" s="8" t="s">
        <v>57</v>
      </c>
      <c r="C23" s="8" t="s">
        <v>58</v>
      </c>
      <c r="D23" s="10">
        <v>0</v>
      </c>
      <c r="F23" s="10">
        <v>0</v>
      </c>
      <c r="G23" s="10">
        <v>410</v>
      </c>
      <c r="I23" s="10">
        <v>0</v>
      </c>
      <c r="J23" s="10">
        <v>410</v>
      </c>
    </row>
    <row r="24" spans="2:10" ht="13.8" thickBot="1" x14ac:dyDescent="0.3">
      <c r="B24" s="6" t="s">
        <v>59</v>
      </c>
      <c r="C24" s="6" t="s">
        <v>60</v>
      </c>
      <c r="D24" s="9">
        <v>50</v>
      </c>
      <c r="F24" s="9">
        <v>50</v>
      </c>
      <c r="G24" s="9">
        <v>410</v>
      </c>
      <c r="I24" s="9">
        <v>50</v>
      </c>
      <c r="J24" s="9">
        <v>410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zoomScale="70" zoomScaleNormal="70" workbookViewId="0">
      <selection activeCell="K26" sqref="K26"/>
    </sheetView>
  </sheetViews>
  <sheetFormatPr defaultColWidth="11.5546875" defaultRowHeight="18" x14ac:dyDescent="0.35"/>
  <cols>
    <col min="1" max="1" width="31.44140625" style="1" customWidth="1"/>
    <col min="2" max="6" width="11.5546875" style="1"/>
    <col min="7" max="7" width="18.6640625" style="1" bestFit="1" customWidth="1"/>
  </cols>
  <sheetData>
    <row r="1" spans="1:8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10</v>
      </c>
      <c r="H1" s="2" t="s">
        <v>5</v>
      </c>
    </row>
    <row r="2" spans="1:8" x14ac:dyDescent="0.25">
      <c r="A2" s="2" t="s">
        <v>6</v>
      </c>
      <c r="B2" s="2">
        <v>40</v>
      </c>
      <c r="C2" s="2">
        <v>5</v>
      </c>
      <c r="D2" s="2">
        <v>25</v>
      </c>
      <c r="E2" s="2">
        <v>0</v>
      </c>
      <c r="F2" s="2">
        <f>SUM(B2:E2)</f>
        <v>70</v>
      </c>
      <c r="G2" s="2" t="s">
        <v>11</v>
      </c>
      <c r="H2" s="2">
        <v>70</v>
      </c>
    </row>
    <row r="3" spans="1:8" x14ac:dyDescent="0.25">
      <c r="A3" s="2" t="s">
        <v>7</v>
      </c>
      <c r="B3" s="2">
        <v>0</v>
      </c>
      <c r="C3" s="2">
        <v>55</v>
      </c>
      <c r="D3" s="2">
        <v>0</v>
      </c>
      <c r="E3" s="2">
        <v>25</v>
      </c>
      <c r="F3" s="2">
        <f>SUM(B3:E3)</f>
        <v>80</v>
      </c>
      <c r="G3" s="2" t="s">
        <v>11</v>
      </c>
      <c r="H3" s="2">
        <v>80</v>
      </c>
    </row>
    <row r="4" spans="1:8" x14ac:dyDescent="0.25">
      <c r="A4" s="2" t="s">
        <v>8</v>
      </c>
      <c r="B4" s="2">
        <v>0</v>
      </c>
      <c r="C4" s="2">
        <v>0</v>
      </c>
      <c r="D4" s="2">
        <v>0</v>
      </c>
      <c r="E4" s="2">
        <v>50</v>
      </c>
      <c r="F4" s="2">
        <f>SUM(B4:E4)</f>
        <v>50</v>
      </c>
      <c r="G4" s="2" t="s">
        <v>11</v>
      </c>
      <c r="H4" s="2">
        <v>50</v>
      </c>
    </row>
    <row r="5" spans="1:8" x14ac:dyDescent="0.25">
      <c r="A5" s="2" t="s">
        <v>9</v>
      </c>
      <c r="B5" s="2">
        <f>SUM(B2:B4)</f>
        <v>40</v>
      </c>
      <c r="C5" s="2">
        <f>SUM(C2:C4)</f>
        <v>60</v>
      </c>
      <c r="D5" s="2">
        <f>SUM(D2:D4)</f>
        <v>25</v>
      </c>
      <c r="E5" s="2">
        <f>SUM(E2:E4)</f>
        <v>75</v>
      </c>
      <c r="F5" s="2"/>
      <c r="G5" s="2"/>
      <c r="H5" s="2"/>
    </row>
    <row r="6" spans="1:8" x14ac:dyDescent="0.25">
      <c r="A6" s="2" t="s">
        <v>10</v>
      </c>
      <c r="B6" s="2" t="s">
        <v>11</v>
      </c>
      <c r="C6" s="2" t="s">
        <v>11</v>
      </c>
      <c r="D6" s="2" t="s">
        <v>11</v>
      </c>
      <c r="E6" s="2" t="s">
        <v>11</v>
      </c>
      <c r="F6" s="2"/>
      <c r="G6" s="2" t="s">
        <v>104</v>
      </c>
      <c r="H6" s="2"/>
    </row>
    <row r="7" spans="1:8" x14ac:dyDescent="0.25">
      <c r="A7" s="2" t="s">
        <v>12</v>
      </c>
      <c r="B7" s="2">
        <v>40</v>
      </c>
      <c r="C7" s="2">
        <v>60</v>
      </c>
      <c r="D7" s="2">
        <v>25</v>
      </c>
      <c r="E7" s="2">
        <v>75</v>
      </c>
      <c r="F7" s="2"/>
      <c r="G7" s="2">
        <f>SUMPRODUCT(B2:E4,B10:E12)</f>
        <v>410</v>
      </c>
      <c r="H7" s="2"/>
    </row>
    <row r="8" spans="1:8" x14ac:dyDescent="0.25">
      <c r="A8" s="13"/>
      <c r="B8" s="14"/>
      <c r="C8" s="14"/>
      <c r="D8" s="14"/>
      <c r="E8" s="14"/>
      <c r="F8" s="13"/>
      <c r="G8" s="14"/>
      <c r="H8" s="13"/>
    </row>
    <row r="9" spans="1:8" x14ac:dyDescent="0.35">
      <c r="A9" s="3" t="s">
        <v>13</v>
      </c>
      <c r="B9" s="3"/>
      <c r="C9" s="3"/>
      <c r="D9" s="3"/>
      <c r="E9" s="3"/>
    </row>
    <row r="10" spans="1:8" x14ac:dyDescent="0.35">
      <c r="A10" s="3" t="s">
        <v>6</v>
      </c>
      <c r="B10" s="3">
        <v>2</v>
      </c>
      <c r="C10" s="3">
        <v>4</v>
      </c>
      <c r="D10" s="3">
        <v>1</v>
      </c>
      <c r="E10" s="3">
        <v>6</v>
      </c>
    </row>
    <row r="11" spans="1:8" x14ac:dyDescent="0.35">
      <c r="A11" s="3" t="s">
        <v>7</v>
      </c>
      <c r="B11" s="3">
        <v>2</v>
      </c>
      <c r="C11" s="3">
        <v>2</v>
      </c>
      <c r="D11" s="3">
        <v>4</v>
      </c>
      <c r="E11" s="3">
        <v>3</v>
      </c>
    </row>
    <row r="12" spans="1:8" x14ac:dyDescent="0.35">
      <c r="A12" s="3" t="s">
        <v>8</v>
      </c>
      <c r="B12" s="3">
        <v>1</v>
      </c>
      <c r="C12" s="3">
        <v>2</v>
      </c>
      <c r="D12" s="3">
        <v>3</v>
      </c>
      <c r="E12" s="3">
        <v>2</v>
      </c>
    </row>
    <row r="14" spans="1:8" x14ac:dyDescent="0.35">
      <c r="A14" s="5" t="s">
        <v>14</v>
      </c>
      <c r="B14" s="5"/>
      <c r="C14" s="5"/>
      <c r="D14" s="5"/>
      <c r="E14" s="5"/>
    </row>
    <row r="15" spans="1:8" x14ac:dyDescent="0.35">
      <c r="A15" s="5" t="s">
        <v>6</v>
      </c>
      <c r="B15" s="5"/>
      <c r="C15" s="5"/>
      <c r="D15" s="5"/>
      <c r="E15" s="5"/>
    </row>
    <row r="16" spans="1:8" x14ac:dyDescent="0.35">
      <c r="A16" s="5" t="s">
        <v>7</v>
      </c>
      <c r="B16" s="5"/>
      <c r="C16" s="5"/>
      <c r="D16" s="5"/>
      <c r="E16" s="5"/>
    </row>
    <row r="17" spans="1:5" x14ac:dyDescent="0.35">
      <c r="A17" s="5" t="s">
        <v>8</v>
      </c>
      <c r="B17" s="5"/>
      <c r="C17" s="5"/>
      <c r="D17" s="5"/>
      <c r="E17" s="5"/>
    </row>
    <row r="19" spans="1:5" x14ac:dyDescent="0.35">
      <c r="A19" s="5" t="s">
        <v>15</v>
      </c>
      <c r="B19" s="5"/>
      <c r="C19" s="5"/>
      <c r="D19" s="5"/>
      <c r="E19" s="5"/>
    </row>
    <row r="20" spans="1:5" x14ac:dyDescent="0.35">
      <c r="A20" s="5" t="s">
        <v>6</v>
      </c>
      <c r="B20" s="5"/>
      <c r="C20" s="5"/>
      <c r="D20" s="5"/>
      <c r="E20" s="5"/>
    </row>
    <row r="21" spans="1:5" x14ac:dyDescent="0.35">
      <c r="A21" s="5" t="s">
        <v>7</v>
      </c>
      <c r="B21" s="5"/>
      <c r="C21" s="5"/>
      <c r="D21" s="5"/>
      <c r="E21" s="5"/>
    </row>
    <row r="22" spans="1:5" x14ac:dyDescent="0.35">
      <c r="A22" s="3" t="s">
        <v>8</v>
      </c>
      <c r="B22" s="3"/>
      <c r="C22" s="3"/>
      <c r="D22" s="3"/>
      <c r="E22" s="3"/>
    </row>
    <row r="23" spans="1:5" x14ac:dyDescent="0.35">
      <c r="A23" s="15"/>
      <c r="B23" s="15"/>
      <c r="C23" s="15"/>
      <c r="D23" s="15"/>
      <c r="E23" s="15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86008-74F7-4CC1-BB49-1B8D86B10EC0}">
  <dimension ref="A1:G43"/>
  <sheetViews>
    <sheetView showGridLines="0" zoomScale="70" zoomScaleNormal="70" workbookViewId="0">
      <selection activeCell="R18" sqref="R18"/>
    </sheetView>
  </sheetViews>
  <sheetFormatPr defaultRowHeight="13.2" x14ac:dyDescent="0.25"/>
  <cols>
    <col min="1" max="1" width="2.33203125" customWidth="1"/>
    <col min="2" max="2" width="5.33203125" bestFit="1" customWidth="1"/>
    <col min="3" max="3" width="11.5546875" bestFit="1" customWidth="1"/>
    <col min="4" max="4" width="13.21875" bestFit="1" customWidth="1"/>
    <col min="5" max="5" width="11.88671875" bestFit="1" customWidth="1"/>
    <col min="6" max="6" width="10.33203125" bestFit="1" customWidth="1"/>
    <col min="7" max="7" width="5.6640625" bestFit="1" customWidth="1"/>
  </cols>
  <sheetData>
    <row r="1" spans="1:5" x14ac:dyDescent="0.25">
      <c r="A1" s="4" t="s">
        <v>16</v>
      </c>
    </row>
    <row r="2" spans="1:5" x14ac:dyDescent="0.25">
      <c r="A2" s="4" t="s">
        <v>111</v>
      </c>
    </row>
    <row r="3" spans="1:5" x14ac:dyDescent="0.25">
      <c r="A3" s="4" t="s">
        <v>112</v>
      </c>
    </row>
    <row r="4" spans="1:5" x14ac:dyDescent="0.25">
      <c r="A4" s="4" t="s">
        <v>18</v>
      </c>
    </row>
    <row r="5" spans="1:5" x14ac:dyDescent="0.25">
      <c r="A5" s="4" t="s">
        <v>19</v>
      </c>
    </row>
    <row r="6" spans="1:5" x14ac:dyDescent="0.25">
      <c r="A6" s="4"/>
      <c r="B6" t="s">
        <v>94</v>
      </c>
    </row>
    <row r="7" spans="1:5" x14ac:dyDescent="0.25">
      <c r="A7" s="4"/>
      <c r="B7" t="s">
        <v>105</v>
      </c>
    </row>
    <row r="8" spans="1:5" x14ac:dyDescent="0.25">
      <c r="A8" s="4"/>
      <c r="B8" t="s">
        <v>106</v>
      </c>
    </row>
    <row r="9" spans="1:5" x14ac:dyDescent="0.25">
      <c r="A9" s="4" t="s">
        <v>21</v>
      </c>
    </row>
    <row r="10" spans="1:5" x14ac:dyDescent="0.25">
      <c r="B10" t="s">
        <v>22</v>
      </c>
    </row>
    <row r="11" spans="1:5" x14ac:dyDescent="0.25">
      <c r="B11" t="s">
        <v>23</v>
      </c>
    </row>
    <row r="14" spans="1:5" ht="13.8" thickBot="1" x14ac:dyDescent="0.3">
      <c r="A14" t="s">
        <v>24</v>
      </c>
    </row>
    <row r="15" spans="1:5" ht="13.8" thickBot="1" x14ac:dyDescent="0.3">
      <c r="B15" s="7" t="s">
        <v>25</v>
      </c>
      <c r="C15" s="7" t="s">
        <v>26</v>
      </c>
      <c r="D15" s="7" t="s">
        <v>27</v>
      </c>
      <c r="E15" s="7" t="s">
        <v>28</v>
      </c>
    </row>
    <row r="16" spans="1:5" ht="13.8" thickBot="1" x14ac:dyDescent="0.3">
      <c r="B16" s="6" t="s">
        <v>107</v>
      </c>
      <c r="C16" s="6" t="s">
        <v>108</v>
      </c>
      <c r="D16" s="9">
        <v>410</v>
      </c>
      <c r="E16" s="9">
        <v>370</v>
      </c>
    </row>
    <row r="19" spans="1:6" ht="13.8" thickBot="1" x14ac:dyDescent="0.3">
      <c r="A19" t="s">
        <v>29</v>
      </c>
    </row>
    <row r="20" spans="1:6" ht="13.8" thickBot="1" x14ac:dyDescent="0.3">
      <c r="B20" s="7" t="s">
        <v>25</v>
      </c>
      <c r="C20" s="7" t="s">
        <v>26</v>
      </c>
      <c r="D20" s="7" t="s">
        <v>27</v>
      </c>
      <c r="E20" s="7" t="s">
        <v>28</v>
      </c>
      <c r="F20" s="7" t="s">
        <v>30</v>
      </c>
    </row>
    <row r="21" spans="1:6" x14ac:dyDescent="0.25">
      <c r="B21" s="8" t="s">
        <v>36</v>
      </c>
      <c r="C21" s="8" t="s">
        <v>37</v>
      </c>
      <c r="D21" s="10">
        <v>40</v>
      </c>
      <c r="E21" s="10">
        <v>40</v>
      </c>
      <c r="F21" s="8" t="s">
        <v>38</v>
      </c>
    </row>
    <row r="22" spans="1:6" x14ac:dyDescent="0.25">
      <c r="B22" s="8" t="s">
        <v>39</v>
      </c>
      <c r="C22" s="8" t="s">
        <v>40</v>
      </c>
      <c r="D22" s="10">
        <v>5</v>
      </c>
      <c r="E22" s="10">
        <v>5</v>
      </c>
      <c r="F22" s="8" t="s">
        <v>38</v>
      </c>
    </row>
    <row r="23" spans="1:6" x14ac:dyDescent="0.25">
      <c r="B23" s="8" t="s">
        <v>41</v>
      </c>
      <c r="C23" s="8" t="s">
        <v>42</v>
      </c>
      <c r="D23" s="10">
        <v>25</v>
      </c>
      <c r="E23" s="10">
        <v>25</v>
      </c>
      <c r="F23" s="8" t="s">
        <v>38</v>
      </c>
    </row>
    <row r="24" spans="1:6" x14ac:dyDescent="0.25">
      <c r="B24" s="8" t="s">
        <v>43</v>
      </c>
      <c r="C24" s="8" t="s">
        <v>44</v>
      </c>
      <c r="D24" s="10">
        <v>0</v>
      </c>
      <c r="E24" s="10">
        <v>0</v>
      </c>
      <c r="F24" s="8" t="s">
        <v>38</v>
      </c>
    </row>
    <row r="25" spans="1:6" x14ac:dyDescent="0.25">
      <c r="B25" s="8" t="s">
        <v>45</v>
      </c>
      <c r="C25" s="8" t="s">
        <v>46</v>
      </c>
      <c r="D25" s="10">
        <v>0</v>
      </c>
      <c r="E25" s="10">
        <v>0</v>
      </c>
      <c r="F25" s="8" t="s">
        <v>38</v>
      </c>
    </row>
    <row r="26" spans="1:6" x14ac:dyDescent="0.25">
      <c r="B26" s="8" t="s">
        <v>47</v>
      </c>
      <c r="C26" s="8" t="s">
        <v>48</v>
      </c>
      <c r="D26" s="10">
        <v>55</v>
      </c>
      <c r="E26" s="10">
        <v>55</v>
      </c>
      <c r="F26" s="8" t="s">
        <v>38</v>
      </c>
    </row>
    <row r="27" spans="1:6" x14ac:dyDescent="0.25">
      <c r="B27" s="8" t="s">
        <v>49</v>
      </c>
      <c r="C27" s="8" t="s">
        <v>50</v>
      </c>
      <c r="D27" s="10">
        <v>0</v>
      </c>
      <c r="E27" s="10">
        <v>0</v>
      </c>
      <c r="F27" s="8" t="s">
        <v>38</v>
      </c>
    </row>
    <row r="28" spans="1:6" x14ac:dyDescent="0.25">
      <c r="B28" s="8" t="s">
        <v>51</v>
      </c>
      <c r="C28" s="8" t="s">
        <v>52</v>
      </c>
      <c r="D28" s="10">
        <v>25</v>
      </c>
      <c r="E28" s="10">
        <v>25</v>
      </c>
      <c r="F28" s="8" t="s">
        <v>38</v>
      </c>
    </row>
    <row r="29" spans="1:6" x14ac:dyDescent="0.25">
      <c r="B29" s="8" t="s">
        <v>53</v>
      </c>
      <c r="C29" s="8" t="s">
        <v>54</v>
      </c>
      <c r="D29" s="10">
        <v>0</v>
      </c>
      <c r="E29" s="10">
        <v>0</v>
      </c>
      <c r="F29" s="8" t="s">
        <v>38</v>
      </c>
    </row>
    <row r="30" spans="1:6" x14ac:dyDescent="0.25">
      <c r="B30" s="8" t="s">
        <v>55</v>
      </c>
      <c r="C30" s="8" t="s">
        <v>56</v>
      </c>
      <c r="D30" s="10">
        <v>0</v>
      </c>
      <c r="E30" s="10">
        <v>0</v>
      </c>
      <c r="F30" s="8" t="s">
        <v>38</v>
      </c>
    </row>
    <row r="31" spans="1:6" x14ac:dyDescent="0.25">
      <c r="B31" s="8" t="s">
        <v>57</v>
      </c>
      <c r="C31" s="8" t="s">
        <v>58</v>
      </c>
      <c r="D31" s="10">
        <v>0</v>
      </c>
      <c r="E31" s="10">
        <v>0</v>
      </c>
      <c r="F31" s="8" t="s">
        <v>38</v>
      </c>
    </row>
    <row r="32" spans="1:6" ht="13.8" thickBot="1" x14ac:dyDescent="0.3">
      <c r="B32" s="6" t="s">
        <v>59</v>
      </c>
      <c r="C32" s="6" t="s">
        <v>60</v>
      </c>
      <c r="D32" s="9">
        <v>50</v>
      </c>
      <c r="E32" s="9">
        <v>30</v>
      </c>
      <c r="F32" s="6" t="s">
        <v>38</v>
      </c>
    </row>
    <row r="35" spans="1:7" ht="13.8" thickBot="1" x14ac:dyDescent="0.3">
      <c r="A35" t="s">
        <v>31</v>
      </c>
    </row>
    <row r="36" spans="1:7" ht="13.8" thickBot="1" x14ac:dyDescent="0.3">
      <c r="B36" s="7" t="s">
        <v>25</v>
      </c>
      <c r="C36" s="7" t="s">
        <v>26</v>
      </c>
      <c r="D36" s="7" t="s">
        <v>32</v>
      </c>
      <c r="E36" s="7" t="s">
        <v>33</v>
      </c>
      <c r="F36" s="7" t="s">
        <v>34</v>
      </c>
      <c r="G36" s="7" t="s">
        <v>35</v>
      </c>
    </row>
    <row r="37" spans="1:7" x14ac:dyDescent="0.25">
      <c r="B37" s="8" t="s">
        <v>61</v>
      </c>
      <c r="C37" s="8" t="s">
        <v>62</v>
      </c>
      <c r="D37" s="10">
        <v>40</v>
      </c>
      <c r="E37" s="8" t="s">
        <v>113</v>
      </c>
      <c r="F37" s="8" t="s">
        <v>72</v>
      </c>
      <c r="G37" s="8">
        <v>0</v>
      </c>
    </row>
    <row r="38" spans="1:7" x14ac:dyDescent="0.25">
      <c r="B38" s="8" t="s">
        <v>63</v>
      </c>
      <c r="C38" s="8" t="s">
        <v>64</v>
      </c>
      <c r="D38" s="10">
        <v>60</v>
      </c>
      <c r="E38" s="8" t="s">
        <v>114</v>
      </c>
      <c r="F38" s="8" t="s">
        <v>72</v>
      </c>
      <c r="G38" s="8">
        <v>0</v>
      </c>
    </row>
    <row r="39" spans="1:7" x14ac:dyDescent="0.25">
      <c r="B39" s="8" t="s">
        <v>65</v>
      </c>
      <c r="C39" s="8" t="s">
        <v>66</v>
      </c>
      <c r="D39" s="10">
        <v>25</v>
      </c>
      <c r="E39" s="8" t="s">
        <v>115</v>
      </c>
      <c r="F39" s="8" t="s">
        <v>72</v>
      </c>
      <c r="G39" s="8">
        <v>0</v>
      </c>
    </row>
    <row r="40" spans="1:7" x14ac:dyDescent="0.25">
      <c r="B40" s="8" t="s">
        <v>67</v>
      </c>
      <c r="C40" s="8" t="s">
        <v>68</v>
      </c>
      <c r="D40" s="10">
        <v>55</v>
      </c>
      <c r="E40" s="8" t="s">
        <v>116</v>
      </c>
      <c r="F40" s="8" t="s">
        <v>117</v>
      </c>
      <c r="G40" s="8">
        <v>20</v>
      </c>
    </row>
    <row r="41" spans="1:7" x14ac:dyDescent="0.25">
      <c r="B41" s="8" t="s">
        <v>69</v>
      </c>
      <c r="C41" s="8" t="s">
        <v>70</v>
      </c>
      <c r="D41" s="10">
        <v>70</v>
      </c>
      <c r="E41" s="8" t="s">
        <v>71</v>
      </c>
      <c r="F41" s="8" t="s">
        <v>72</v>
      </c>
      <c r="G41" s="8">
        <v>0</v>
      </c>
    </row>
    <row r="42" spans="1:7" x14ac:dyDescent="0.25">
      <c r="B42" s="8" t="s">
        <v>73</v>
      </c>
      <c r="C42" s="8" t="s">
        <v>74</v>
      </c>
      <c r="D42" s="10">
        <v>80</v>
      </c>
      <c r="E42" s="8" t="s">
        <v>75</v>
      </c>
      <c r="F42" s="8" t="s">
        <v>72</v>
      </c>
      <c r="G42" s="8">
        <v>0</v>
      </c>
    </row>
    <row r="43" spans="1:7" ht="13.8" thickBot="1" x14ac:dyDescent="0.3">
      <c r="B43" s="6" t="s">
        <v>76</v>
      </c>
      <c r="C43" s="6" t="s">
        <v>77</v>
      </c>
      <c r="D43" s="9">
        <v>30</v>
      </c>
      <c r="E43" s="6" t="s">
        <v>78</v>
      </c>
      <c r="F43" s="6" t="s">
        <v>72</v>
      </c>
      <c r="G43" s="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866E0-832A-41AC-80A6-F4CFF905418E}">
  <dimension ref="A1:H31"/>
  <sheetViews>
    <sheetView showGridLines="0" zoomScaleNormal="100" workbookViewId="0">
      <selection activeCell="O12" sqref="O12"/>
    </sheetView>
  </sheetViews>
  <sheetFormatPr defaultRowHeight="13.2" x14ac:dyDescent="0.25"/>
  <cols>
    <col min="1" max="1" width="2.33203125" customWidth="1"/>
    <col min="2" max="2" width="5.33203125" bestFit="1" customWidth="1"/>
    <col min="3" max="3" width="8.33203125" bestFit="1" customWidth="1"/>
    <col min="4" max="4" width="5.77734375" bestFit="1" customWidth="1"/>
    <col min="5" max="5" width="8.6640625" bestFit="1" customWidth="1"/>
    <col min="6" max="6" width="10.21875" bestFit="1" customWidth="1"/>
    <col min="7" max="8" width="9.21875" bestFit="1" customWidth="1"/>
  </cols>
  <sheetData>
    <row r="1" spans="1:8" x14ac:dyDescent="0.25">
      <c r="A1" s="4" t="s">
        <v>83</v>
      </c>
    </row>
    <row r="2" spans="1:8" x14ac:dyDescent="0.25">
      <c r="A2" s="4" t="s">
        <v>111</v>
      </c>
    </row>
    <row r="3" spans="1:8" x14ac:dyDescent="0.25">
      <c r="A3" s="4" t="s">
        <v>112</v>
      </c>
    </row>
    <row r="6" spans="1:8" ht="13.8" thickBot="1" x14ac:dyDescent="0.3">
      <c r="A6" t="s">
        <v>29</v>
      </c>
    </row>
    <row r="7" spans="1:8" x14ac:dyDescent="0.25">
      <c r="B7" s="11"/>
      <c r="C7" s="11"/>
      <c r="D7" s="11" t="s">
        <v>84</v>
      </c>
      <c r="E7" s="11" t="s">
        <v>86</v>
      </c>
      <c r="F7" s="11" t="s">
        <v>88</v>
      </c>
      <c r="G7" s="11" t="s">
        <v>97</v>
      </c>
      <c r="H7" s="11" t="s">
        <v>97</v>
      </c>
    </row>
    <row r="8" spans="1:8" ht="13.8" thickBot="1" x14ac:dyDescent="0.3">
      <c r="B8" s="12" t="s">
        <v>25</v>
      </c>
      <c r="C8" s="12" t="s">
        <v>26</v>
      </c>
      <c r="D8" s="12" t="s">
        <v>85</v>
      </c>
      <c r="E8" s="12" t="s">
        <v>95</v>
      </c>
      <c r="F8" s="12" t="s">
        <v>96</v>
      </c>
      <c r="G8" s="12" t="s">
        <v>98</v>
      </c>
      <c r="H8" s="12" t="s">
        <v>99</v>
      </c>
    </row>
    <row r="9" spans="1:8" x14ac:dyDescent="0.25">
      <c r="B9" s="8" t="s">
        <v>36</v>
      </c>
      <c r="C9" s="8" t="s">
        <v>37</v>
      </c>
      <c r="D9" s="8">
        <v>40</v>
      </c>
      <c r="E9" s="8">
        <v>0</v>
      </c>
      <c r="F9" s="8">
        <v>2</v>
      </c>
      <c r="G9" s="8">
        <v>2</v>
      </c>
      <c r="H9" s="8">
        <v>1E+30</v>
      </c>
    </row>
    <row r="10" spans="1:8" x14ac:dyDescent="0.25">
      <c r="B10" s="8" t="s">
        <v>39</v>
      </c>
      <c r="C10" s="8" t="s">
        <v>40</v>
      </c>
      <c r="D10" s="8">
        <v>5</v>
      </c>
      <c r="E10" s="8">
        <v>0</v>
      </c>
      <c r="F10" s="8">
        <v>4</v>
      </c>
      <c r="G10" s="8">
        <v>1</v>
      </c>
      <c r="H10" s="8">
        <v>2</v>
      </c>
    </row>
    <row r="11" spans="1:8" x14ac:dyDescent="0.25">
      <c r="B11" s="8" t="s">
        <v>41</v>
      </c>
      <c r="C11" s="8" t="s">
        <v>42</v>
      </c>
      <c r="D11" s="8">
        <v>25</v>
      </c>
      <c r="E11" s="8">
        <v>0</v>
      </c>
      <c r="F11" s="8">
        <v>1</v>
      </c>
      <c r="G11" s="8">
        <v>4</v>
      </c>
      <c r="H11" s="8">
        <v>1E+30</v>
      </c>
    </row>
    <row r="12" spans="1:8" x14ac:dyDescent="0.25">
      <c r="B12" s="8" t="s">
        <v>43</v>
      </c>
      <c r="C12" s="8" t="s">
        <v>44</v>
      </c>
      <c r="D12" s="8">
        <v>0</v>
      </c>
      <c r="E12" s="8">
        <v>1</v>
      </c>
      <c r="F12" s="8">
        <v>6</v>
      </c>
      <c r="G12" s="8">
        <v>1E+30</v>
      </c>
      <c r="H12" s="8">
        <v>1</v>
      </c>
    </row>
    <row r="13" spans="1:8" x14ac:dyDescent="0.25">
      <c r="B13" s="8" t="s">
        <v>45</v>
      </c>
      <c r="C13" s="8" t="s">
        <v>46</v>
      </c>
      <c r="D13" s="8">
        <v>0</v>
      </c>
      <c r="E13" s="8">
        <v>2</v>
      </c>
      <c r="F13" s="8">
        <v>2</v>
      </c>
      <c r="G13" s="8">
        <v>1E+30</v>
      </c>
      <c r="H13" s="8">
        <v>2</v>
      </c>
    </row>
    <row r="14" spans="1:8" x14ac:dyDescent="0.25">
      <c r="B14" s="8" t="s">
        <v>47</v>
      </c>
      <c r="C14" s="8" t="s">
        <v>48</v>
      </c>
      <c r="D14" s="8">
        <v>55</v>
      </c>
      <c r="E14" s="8">
        <v>0</v>
      </c>
      <c r="F14" s="8">
        <v>2</v>
      </c>
      <c r="G14" s="8">
        <v>1</v>
      </c>
      <c r="H14" s="8">
        <v>1</v>
      </c>
    </row>
    <row r="15" spans="1:8" x14ac:dyDescent="0.25">
      <c r="B15" s="8" t="s">
        <v>49</v>
      </c>
      <c r="C15" s="8" t="s">
        <v>50</v>
      </c>
      <c r="D15" s="8">
        <v>0</v>
      </c>
      <c r="E15" s="8">
        <v>5</v>
      </c>
      <c r="F15" s="8">
        <v>4</v>
      </c>
      <c r="G15" s="8">
        <v>1E+30</v>
      </c>
      <c r="H15" s="8">
        <v>5</v>
      </c>
    </row>
    <row r="16" spans="1:8" x14ac:dyDescent="0.25">
      <c r="B16" s="8" t="s">
        <v>51</v>
      </c>
      <c r="C16" s="8" t="s">
        <v>52</v>
      </c>
      <c r="D16" s="8">
        <v>25</v>
      </c>
      <c r="E16" s="8">
        <v>0</v>
      </c>
      <c r="F16" s="8">
        <v>3</v>
      </c>
      <c r="G16" s="8">
        <v>1</v>
      </c>
      <c r="H16" s="8">
        <v>1</v>
      </c>
    </row>
    <row r="17" spans="1:8" x14ac:dyDescent="0.25">
      <c r="B17" s="8" t="s">
        <v>53</v>
      </c>
      <c r="C17" s="8" t="s">
        <v>54</v>
      </c>
      <c r="D17" s="8">
        <v>0</v>
      </c>
      <c r="E17" s="8">
        <v>2</v>
      </c>
      <c r="F17" s="8">
        <v>1</v>
      </c>
      <c r="G17" s="8">
        <v>1E+30</v>
      </c>
      <c r="H17" s="8">
        <v>2</v>
      </c>
    </row>
    <row r="18" spans="1:8" x14ac:dyDescent="0.25">
      <c r="B18" s="8" t="s">
        <v>55</v>
      </c>
      <c r="C18" s="8" t="s">
        <v>56</v>
      </c>
      <c r="D18" s="8">
        <v>0</v>
      </c>
      <c r="E18" s="8">
        <v>1</v>
      </c>
      <c r="F18" s="8">
        <v>2</v>
      </c>
      <c r="G18" s="8">
        <v>1E+30</v>
      </c>
      <c r="H18" s="8">
        <v>1</v>
      </c>
    </row>
    <row r="19" spans="1:8" x14ac:dyDescent="0.25">
      <c r="B19" s="8" t="s">
        <v>57</v>
      </c>
      <c r="C19" s="8" t="s">
        <v>58</v>
      </c>
      <c r="D19" s="8">
        <v>0</v>
      </c>
      <c r="E19" s="8">
        <v>5</v>
      </c>
      <c r="F19" s="8">
        <v>3</v>
      </c>
      <c r="G19" s="8">
        <v>1E+30</v>
      </c>
      <c r="H19" s="8">
        <v>5</v>
      </c>
    </row>
    <row r="20" spans="1:8" ht="13.8" thickBot="1" x14ac:dyDescent="0.3">
      <c r="B20" s="6" t="s">
        <v>59</v>
      </c>
      <c r="C20" s="6" t="s">
        <v>60</v>
      </c>
      <c r="D20" s="6">
        <v>30</v>
      </c>
      <c r="E20" s="6">
        <v>0</v>
      </c>
      <c r="F20" s="6">
        <v>2</v>
      </c>
      <c r="G20" s="6">
        <v>1</v>
      </c>
      <c r="H20" s="6">
        <v>1E+30</v>
      </c>
    </row>
    <row r="22" spans="1:8" ht="13.8" thickBot="1" x14ac:dyDescent="0.3">
      <c r="A22" t="s">
        <v>31</v>
      </c>
    </row>
    <row r="23" spans="1:8" x14ac:dyDescent="0.25">
      <c r="B23" s="11"/>
      <c r="C23" s="11"/>
      <c r="D23" s="11" t="s">
        <v>84</v>
      </c>
      <c r="E23" s="11" t="s">
        <v>100</v>
      </c>
      <c r="F23" s="11" t="s">
        <v>102</v>
      </c>
      <c r="G23" s="11" t="s">
        <v>97</v>
      </c>
      <c r="H23" s="11" t="s">
        <v>97</v>
      </c>
    </row>
    <row r="24" spans="1:8" ht="13.8" thickBot="1" x14ac:dyDescent="0.3">
      <c r="B24" s="12" t="s">
        <v>25</v>
      </c>
      <c r="C24" s="12" t="s">
        <v>26</v>
      </c>
      <c r="D24" s="12" t="s">
        <v>85</v>
      </c>
      <c r="E24" s="12" t="s">
        <v>101</v>
      </c>
      <c r="F24" s="12" t="s">
        <v>103</v>
      </c>
      <c r="G24" s="12" t="s">
        <v>98</v>
      </c>
      <c r="H24" s="12" t="s">
        <v>99</v>
      </c>
    </row>
    <row r="25" spans="1:8" x14ac:dyDescent="0.25">
      <c r="B25" s="8" t="s">
        <v>61</v>
      </c>
      <c r="C25" s="8" t="s">
        <v>62</v>
      </c>
      <c r="D25" s="8">
        <v>40</v>
      </c>
      <c r="E25" s="8">
        <v>-3</v>
      </c>
      <c r="F25" s="8">
        <v>40</v>
      </c>
      <c r="G25" s="8">
        <v>5</v>
      </c>
      <c r="H25" s="8">
        <v>20</v>
      </c>
    </row>
    <row r="26" spans="1:8" x14ac:dyDescent="0.25">
      <c r="B26" s="8" t="s">
        <v>63</v>
      </c>
      <c r="C26" s="8" t="s">
        <v>64</v>
      </c>
      <c r="D26" s="8">
        <v>60</v>
      </c>
      <c r="E26" s="8">
        <v>-1</v>
      </c>
      <c r="F26" s="8">
        <v>60</v>
      </c>
      <c r="G26" s="8">
        <v>25</v>
      </c>
      <c r="H26" s="8">
        <v>20</v>
      </c>
    </row>
    <row r="27" spans="1:8" x14ac:dyDescent="0.25">
      <c r="B27" s="8" t="s">
        <v>65</v>
      </c>
      <c r="C27" s="8" t="s">
        <v>66</v>
      </c>
      <c r="D27" s="8">
        <v>25</v>
      </c>
      <c r="E27" s="8">
        <v>-4</v>
      </c>
      <c r="F27" s="8">
        <v>25</v>
      </c>
      <c r="G27" s="8">
        <v>5</v>
      </c>
      <c r="H27" s="8">
        <v>20</v>
      </c>
    </row>
    <row r="28" spans="1:8" x14ac:dyDescent="0.25">
      <c r="B28" s="8" t="s">
        <v>67</v>
      </c>
      <c r="C28" s="8" t="s">
        <v>68</v>
      </c>
      <c r="D28" s="8">
        <v>55</v>
      </c>
      <c r="E28" s="8">
        <v>0</v>
      </c>
      <c r="F28" s="8">
        <v>75</v>
      </c>
      <c r="G28" s="8">
        <v>1E+30</v>
      </c>
      <c r="H28" s="8">
        <v>20</v>
      </c>
    </row>
    <row r="29" spans="1:8" x14ac:dyDescent="0.25">
      <c r="B29" s="8" t="s">
        <v>69</v>
      </c>
      <c r="C29" s="8" t="s">
        <v>70</v>
      </c>
      <c r="D29" s="8">
        <v>70</v>
      </c>
      <c r="E29" s="8">
        <v>5</v>
      </c>
      <c r="F29" s="8">
        <v>70</v>
      </c>
      <c r="G29" s="8">
        <v>20</v>
      </c>
      <c r="H29" s="8">
        <v>5</v>
      </c>
    </row>
    <row r="30" spans="1:8" x14ac:dyDescent="0.25">
      <c r="B30" s="8" t="s">
        <v>73</v>
      </c>
      <c r="C30" s="8" t="s">
        <v>74</v>
      </c>
      <c r="D30" s="8">
        <v>80</v>
      </c>
      <c r="E30" s="8">
        <v>3</v>
      </c>
      <c r="F30" s="8">
        <v>80</v>
      </c>
      <c r="G30" s="8">
        <v>20</v>
      </c>
      <c r="H30" s="8">
        <v>25</v>
      </c>
    </row>
    <row r="31" spans="1:8" ht="13.8" thickBot="1" x14ac:dyDescent="0.3">
      <c r="B31" s="6" t="s">
        <v>76</v>
      </c>
      <c r="C31" s="6" t="s">
        <v>77</v>
      </c>
      <c r="D31" s="6">
        <v>30</v>
      </c>
      <c r="E31" s="6">
        <v>2</v>
      </c>
      <c r="F31" s="6">
        <v>30</v>
      </c>
      <c r="G31" s="6">
        <v>20</v>
      </c>
      <c r="H31" s="6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B166-A9B2-4ACE-A160-5BEB26104E5B}">
  <dimension ref="A1:J24"/>
  <sheetViews>
    <sheetView showGridLines="0" workbookViewId="0">
      <selection activeCell="O12" sqref="O12"/>
    </sheetView>
  </sheetViews>
  <sheetFormatPr defaultRowHeight="13.2" x14ac:dyDescent="0.25"/>
  <cols>
    <col min="1" max="1" width="2.33203125" customWidth="1"/>
    <col min="2" max="2" width="5.33203125" bestFit="1" customWidth="1"/>
    <col min="3" max="3" width="11.5546875" bestFit="1" customWidth="1"/>
    <col min="4" max="4" width="5.77734375" bestFit="1" customWidth="1"/>
    <col min="5" max="5" width="2.33203125" customWidth="1"/>
    <col min="6" max="6" width="6.44140625" bestFit="1" customWidth="1"/>
    <col min="7" max="7" width="9.109375" bestFit="1" customWidth="1"/>
    <col min="8" max="8" width="2.33203125" customWidth="1"/>
    <col min="9" max="9" width="6.33203125" bestFit="1" customWidth="1"/>
    <col min="10" max="10" width="9.109375" bestFit="1" customWidth="1"/>
  </cols>
  <sheetData>
    <row r="1" spans="1:10" x14ac:dyDescent="0.25">
      <c r="A1" s="4" t="s">
        <v>87</v>
      </c>
    </row>
    <row r="2" spans="1:10" x14ac:dyDescent="0.25">
      <c r="A2" s="4" t="s">
        <v>111</v>
      </c>
    </row>
    <row r="3" spans="1:10" x14ac:dyDescent="0.25">
      <c r="A3" s="4" t="s">
        <v>112</v>
      </c>
    </row>
    <row r="5" spans="1:10" ht="13.8" thickBot="1" x14ac:dyDescent="0.3"/>
    <row r="6" spans="1:10" x14ac:dyDescent="0.25">
      <c r="B6" s="11"/>
      <c r="C6" s="11" t="s">
        <v>88</v>
      </c>
      <c r="D6" s="11"/>
    </row>
    <row r="7" spans="1:10" ht="13.8" thickBot="1" x14ac:dyDescent="0.3">
      <c r="B7" s="12" t="s">
        <v>25</v>
      </c>
      <c r="C7" s="12" t="s">
        <v>26</v>
      </c>
      <c r="D7" s="12" t="s">
        <v>85</v>
      </c>
    </row>
    <row r="8" spans="1:10" ht="13.8" thickBot="1" x14ac:dyDescent="0.3">
      <c r="B8" s="6" t="s">
        <v>107</v>
      </c>
      <c r="C8" s="6" t="s">
        <v>108</v>
      </c>
      <c r="D8" s="9">
        <v>370</v>
      </c>
    </row>
    <row r="10" spans="1:10" ht="13.8" thickBot="1" x14ac:dyDescent="0.3"/>
    <row r="11" spans="1:10" x14ac:dyDescent="0.25">
      <c r="B11" s="11"/>
      <c r="C11" s="11" t="s">
        <v>89</v>
      </c>
      <c r="D11" s="11"/>
      <c r="F11" s="11" t="s">
        <v>90</v>
      </c>
      <c r="G11" s="11" t="s">
        <v>88</v>
      </c>
      <c r="I11" s="11" t="s">
        <v>93</v>
      </c>
      <c r="J11" s="11" t="s">
        <v>88</v>
      </c>
    </row>
    <row r="12" spans="1:10" ht="13.8" thickBot="1" x14ac:dyDescent="0.3">
      <c r="B12" s="12" t="s">
        <v>25</v>
      </c>
      <c r="C12" s="12" t="s">
        <v>26</v>
      </c>
      <c r="D12" s="12" t="s">
        <v>85</v>
      </c>
      <c r="F12" s="12" t="s">
        <v>91</v>
      </c>
      <c r="G12" s="12" t="s">
        <v>92</v>
      </c>
      <c r="I12" s="12" t="s">
        <v>91</v>
      </c>
      <c r="J12" s="12" t="s">
        <v>92</v>
      </c>
    </row>
    <row r="13" spans="1:10" x14ac:dyDescent="0.25">
      <c r="B13" s="8" t="s">
        <v>36</v>
      </c>
      <c r="C13" s="8" t="s">
        <v>37</v>
      </c>
      <c r="D13" s="10">
        <v>40</v>
      </c>
      <c r="F13" s="10">
        <v>40</v>
      </c>
      <c r="G13" s="10">
        <v>370</v>
      </c>
      <c r="I13" s="10">
        <v>40</v>
      </c>
      <c r="J13" s="10">
        <v>370</v>
      </c>
    </row>
    <row r="14" spans="1:10" x14ac:dyDescent="0.25">
      <c r="B14" s="8" t="s">
        <v>39</v>
      </c>
      <c r="C14" s="8" t="s">
        <v>40</v>
      </c>
      <c r="D14" s="10">
        <v>5</v>
      </c>
      <c r="F14" s="10">
        <v>5</v>
      </c>
      <c r="G14" s="10">
        <v>370</v>
      </c>
      <c r="I14" s="10">
        <v>5</v>
      </c>
      <c r="J14" s="10">
        <v>370</v>
      </c>
    </row>
    <row r="15" spans="1:10" x14ac:dyDescent="0.25">
      <c r="B15" s="8" t="s">
        <v>41</v>
      </c>
      <c r="C15" s="8" t="s">
        <v>42</v>
      </c>
      <c r="D15" s="10">
        <v>25</v>
      </c>
      <c r="F15" s="10">
        <v>25</v>
      </c>
      <c r="G15" s="10">
        <v>370</v>
      </c>
      <c r="I15" s="10">
        <v>25</v>
      </c>
      <c r="J15" s="10">
        <v>370</v>
      </c>
    </row>
    <row r="16" spans="1:10" x14ac:dyDescent="0.25">
      <c r="B16" s="8" t="s">
        <v>43</v>
      </c>
      <c r="C16" s="8" t="s">
        <v>44</v>
      </c>
      <c r="D16" s="10">
        <v>0</v>
      </c>
      <c r="F16" s="10">
        <v>0</v>
      </c>
      <c r="G16" s="10">
        <v>370</v>
      </c>
      <c r="I16" s="10">
        <v>0</v>
      </c>
      <c r="J16" s="10">
        <v>370</v>
      </c>
    </row>
    <row r="17" spans="2:10" x14ac:dyDescent="0.25">
      <c r="B17" s="8" t="s">
        <v>45</v>
      </c>
      <c r="C17" s="8" t="s">
        <v>46</v>
      </c>
      <c r="D17" s="10">
        <v>0</v>
      </c>
      <c r="F17" s="10">
        <v>0</v>
      </c>
      <c r="G17" s="10">
        <v>370</v>
      </c>
      <c r="I17" s="10">
        <v>0</v>
      </c>
      <c r="J17" s="10">
        <v>370</v>
      </c>
    </row>
    <row r="18" spans="2:10" x14ac:dyDescent="0.25">
      <c r="B18" s="8" t="s">
        <v>47</v>
      </c>
      <c r="C18" s="8" t="s">
        <v>48</v>
      </c>
      <c r="D18" s="10">
        <v>55</v>
      </c>
      <c r="F18" s="10">
        <v>55</v>
      </c>
      <c r="G18" s="10">
        <v>370</v>
      </c>
      <c r="I18" s="10">
        <v>55</v>
      </c>
      <c r="J18" s="10">
        <v>370</v>
      </c>
    </row>
    <row r="19" spans="2:10" x14ac:dyDescent="0.25">
      <c r="B19" s="8" t="s">
        <v>49</v>
      </c>
      <c r="C19" s="8" t="s">
        <v>50</v>
      </c>
      <c r="D19" s="10">
        <v>0</v>
      </c>
      <c r="F19" s="10">
        <v>0</v>
      </c>
      <c r="G19" s="10">
        <v>370</v>
      </c>
      <c r="I19" s="10">
        <v>0</v>
      </c>
      <c r="J19" s="10">
        <v>370</v>
      </c>
    </row>
    <row r="20" spans="2:10" x14ac:dyDescent="0.25">
      <c r="B20" s="8" t="s">
        <v>51</v>
      </c>
      <c r="C20" s="8" t="s">
        <v>52</v>
      </c>
      <c r="D20" s="10">
        <v>25</v>
      </c>
      <c r="F20" s="10">
        <v>25</v>
      </c>
      <c r="G20" s="10">
        <v>370</v>
      </c>
      <c r="I20" s="10">
        <v>25</v>
      </c>
      <c r="J20" s="10">
        <v>370</v>
      </c>
    </row>
    <row r="21" spans="2:10" x14ac:dyDescent="0.25">
      <c r="B21" s="8" t="s">
        <v>53</v>
      </c>
      <c r="C21" s="8" t="s">
        <v>54</v>
      </c>
      <c r="D21" s="10">
        <v>0</v>
      </c>
      <c r="F21" s="10">
        <v>0</v>
      </c>
      <c r="G21" s="10">
        <v>370</v>
      </c>
      <c r="I21" s="10">
        <v>0</v>
      </c>
      <c r="J21" s="10">
        <v>370</v>
      </c>
    </row>
    <row r="22" spans="2:10" x14ac:dyDescent="0.25">
      <c r="B22" s="8" t="s">
        <v>55</v>
      </c>
      <c r="C22" s="8" t="s">
        <v>56</v>
      </c>
      <c r="D22" s="10">
        <v>0</v>
      </c>
      <c r="F22" s="10">
        <v>0</v>
      </c>
      <c r="G22" s="10">
        <v>370</v>
      </c>
      <c r="I22" s="10">
        <v>0</v>
      </c>
      <c r="J22" s="10">
        <v>370</v>
      </c>
    </row>
    <row r="23" spans="2:10" x14ac:dyDescent="0.25">
      <c r="B23" s="8" t="s">
        <v>57</v>
      </c>
      <c r="C23" s="8" t="s">
        <v>58</v>
      </c>
      <c r="D23" s="10">
        <v>0</v>
      </c>
      <c r="F23" s="10">
        <v>0</v>
      </c>
      <c r="G23" s="10">
        <v>370</v>
      </c>
      <c r="I23" s="10">
        <v>0</v>
      </c>
      <c r="J23" s="10">
        <v>370</v>
      </c>
    </row>
    <row r="24" spans="2:10" ht="13.8" thickBot="1" x14ac:dyDescent="0.3">
      <c r="B24" s="6" t="s">
        <v>59</v>
      </c>
      <c r="C24" s="6" t="s">
        <v>60</v>
      </c>
      <c r="D24" s="9">
        <v>30</v>
      </c>
      <c r="F24" s="9">
        <v>30</v>
      </c>
      <c r="G24" s="9">
        <v>370</v>
      </c>
      <c r="I24" s="9">
        <v>30</v>
      </c>
      <c r="J24" s="9">
        <v>370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7AB7-AD54-4B1B-958B-8CF2A806A825}">
  <dimension ref="A1:H23"/>
  <sheetViews>
    <sheetView zoomScale="70" zoomScaleNormal="70" workbookViewId="0">
      <selection activeCell="I33" sqref="I33"/>
    </sheetView>
  </sheetViews>
  <sheetFormatPr defaultColWidth="11.5546875" defaultRowHeight="18" x14ac:dyDescent="0.35"/>
  <cols>
    <col min="1" max="1" width="31.44140625" style="1" customWidth="1"/>
    <col min="2" max="6" width="11.5546875" style="1"/>
    <col min="7" max="7" width="18.6640625" style="1" bestFit="1" customWidth="1"/>
  </cols>
  <sheetData>
    <row r="1" spans="1:8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10</v>
      </c>
      <c r="H1" s="2" t="s">
        <v>5</v>
      </c>
    </row>
    <row r="2" spans="1:8" x14ac:dyDescent="0.25">
      <c r="A2" s="2" t="s">
        <v>6</v>
      </c>
      <c r="B2" s="2">
        <v>40</v>
      </c>
      <c r="C2" s="2">
        <v>5</v>
      </c>
      <c r="D2" s="2">
        <v>25</v>
      </c>
      <c r="E2" s="2">
        <v>0</v>
      </c>
      <c r="F2" s="2">
        <f>SUM(B2:E2)</f>
        <v>70</v>
      </c>
      <c r="G2" s="2" t="s">
        <v>11</v>
      </c>
      <c r="H2" s="2">
        <v>70</v>
      </c>
    </row>
    <row r="3" spans="1:8" x14ac:dyDescent="0.25">
      <c r="A3" s="2" t="s">
        <v>7</v>
      </c>
      <c r="B3" s="2">
        <v>0</v>
      </c>
      <c r="C3" s="2">
        <v>55</v>
      </c>
      <c r="D3" s="2">
        <v>0</v>
      </c>
      <c r="E3" s="2">
        <v>25</v>
      </c>
      <c r="F3" s="2">
        <f>SUM(B3:E3)</f>
        <v>80</v>
      </c>
      <c r="G3" s="2" t="s">
        <v>11</v>
      </c>
      <c r="H3" s="2">
        <v>80</v>
      </c>
    </row>
    <row r="4" spans="1:8" x14ac:dyDescent="0.25">
      <c r="A4" s="2" t="s">
        <v>8</v>
      </c>
      <c r="B4" s="2">
        <v>0</v>
      </c>
      <c r="C4" s="2">
        <v>0</v>
      </c>
      <c r="D4" s="2">
        <v>0</v>
      </c>
      <c r="E4" s="2">
        <v>30</v>
      </c>
      <c r="F4" s="2">
        <f>SUM(B4:E4)</f>
        <v>30</v>
      </c>
      <c r="G4" s="2" t="s">
        <v>11</v>
      </c>
      <c r="H4" s="2">
        <v>30</v>
      </c>
    </row>
    <row r="5" spans="1:8" x14ac:dyDescent="0.25">
      <c r="A5" s="2" t="s">
        <v>9</v>
      </c>
      <c r="B5" s="2">
        <f>SUM(B2:B4)</f>
        <v>40</v>
      </c>
      <c r="C5" s="2">
        <f>SUM(C2:C4)</f>
        <v>60</v>
      </c>
      <c r="D5" s="2">
        <f>SUM(D2:D4)</f>
        <v>25</v>
      </c>
      <c r="E5" s="2">
        <f>SUM(E2:E4)</f>
        <v>55</v>
      </c>
      <c r="F5" s="2"/>
      <c r="G5" s="2"/>
      <c r="H5" s="2"/>
    </row>
    <row r="6" spans="1:8" x14ac:dyDescent="0.25">
      <c r="A6" s="2" t="s">
        <v>10</v>
      </c>
      <c r="B6" s="2" t="s">
        <v>11</v>
      </c>
      <c r="C6" s="2" t="s">
        <v>11</v>
      </c>
      <c r="D6" s="2" t="s">
        <v>11</v>
      </c>
      <c r="E6" s="2" t="s">
        <v>11</v>
      </c>
      <c r="F6" s="2"/>
      <c r="G6" s="2" t="s">
        <v>104</v>
      </c>
      <c r="H6" s="2"/>
    </row>
    <row r="7" spans="1:8" x14ac:dyDescent="0.25">
      <c r="A7" s="2" t="s">
        <v>12</v>
      </c>
      <c r="B7" s="2">
        <v>40</v>
      </c>
      <c r="C7" s="2">
        <v>60</v>
      </c>
      <c r="D7" s="2">
        <v>25</v>
      </c>
      <c r="E7" s="2">
        <v>75</v>
      </c>
      <c r="F7" s="2"/>
      <c r="G7" s="2">
        <f>SUMPRODUCT(B2:E4,B10:E12)</f>
        <v>370</v>
      </c>
      <c r="H7" s="2"/>
    </row>
    <row r="8" spans="1:8" x14ac:dyDescent="0.25">
      <c r="A8" s="13"/>
      <c r="B8" s="14"/>
      <c r="C8" s="14"/>
      <c r="D8" s="14"/>
      <c r="E8" s="14"/>
      <c r="F8" s="13"/>
      <c r="G8" s="14"/>
      <c r="H8" s="13"/>
    </row>
    <row r="9" spans="1:8" x14ac:dyDescent="0.35">
      <c r="A9" s="3" t="s">
        <v>13</v>
      </c>
      <c r="B9" s="3"/>
      <c r="C9" s="3"/>
      <c r="D9" s="3"/>
      <c r="E9" s="3"/>
    </row>
    <row r="10" spans="1:8" x14ac:dyDescent="0.35">
      <c r="A10" s="3" t="s">
        <v>6</v>
      </c>
      <c r="B10" s="3">
        <v>2</v>
      </c>
      <c r="C10" s="3">
        <v>4</v>
      </c>
      <c r="D10" s="3">
        <v>1</v>
      </c>
      <c r="E10" s="3">
        <v>6</v>
      </c>
    </row>
    <row r="11" spans="1:8" x14ac:dyDescent="0.35">
      <c r="A11" s="3" t="s">
        <v>7</v>
      </c>
      <c r="B11" s="3">
        <v>2</v>
      </c>
      <c r="C11" s="3">
        <v>2</v>
      </c>
      <c r="D11" s="3">
        <v>4</v>
      </c>
      <c r="E11" s="3">
        <v>3</v>
      </c>
    </row>
    <row r="12" spans="1:8" x14ac:dyDescent="0.35">
      <c r="A12" s="3" t="s">
        <v>8</v>
      </c>
      <c r="B12" s="3">
        <v>1</v>
      </c>
      <c r="C12" s="3">
        <v>2</v>
      </c>
      <c r="D12" s="3">
        <v>3</v>
      </c>
      <c r="E12" s="3">
        <v>2</v>
      </c>
    </row>
    <row r="14" spans="1:8" x14ac:dyDescent="0.35">
      <c r="A14" s="5" t="s">
        <v>14</v>
      </c>
      <c r="B14" s="5"/>
      <c r="C14" s="5"/>
      <c r="D14" s="5"/>
      <c r="E14" s="5"/>
    </row>
    <row r="15" spans="1:8" x14ac:dyDescent="0.35">
      <c r="A15" s="5" t="s">
        <v>6</v>
      </c>
      <c r="B15" s="5"/>
      <c r="C15" s="5"/>
      <c r="D15" s="5"/>
      <c r="E15" s="5"/>
    </row>
    <row r="16" spans="1:8" x14ac:dyDescent="0.35">
      <c r="A16" s="5" t="s">
        <v>7</v>
      </c>
      <c r="B16" s="5"/>
      <c r="C16" s="5"/>
      <c r="D16" s="5"/>
      <c r="E16" s="5"/>
    </row>
    <row r="17" spans="1:5" x14ac:dyDescent="0.35">
      <c r="A17" s="5" t="s">
        <v>8</v>
      </c>
      <c r="B17" s="5"/>
      <c r="C17" s="5"/>
      <c r="D17" s="5"/>
      <c r="E17" s="5"/>
    </row>
    <row r="19" spans="1:5" x14ac:dyDescent="0.35">
      <c r="A19" s="5" t="s">
        <v>15</v>
      </c>
      <c r="B19" s="5"/>
      <c r="C19" s="5"/>
      <c r="D19" s="5"/>
      <c r="E19" s="5"/>
    </row>
    <row r="20" spans="1:5" x14ac:dyDescent="0.35">
      <c r="A20" s="5" t="s">
        <v>6</v>
      </c>
      <c r="B20" s="5"/>
      <c r="C20" s="5"/>
      <c r="D20" s="5"/>
      <c r="E20" s="5"/>
    </row>
    <row r="21" spans="1:5" x14ac:dyDescent="0.35">
      <c r="A21" s="5" t="s">
        <v>7</v>
      </c>
      <c r="B21" s="5"/>
      <c r="C21" s="5"/>
      <c r="D21" s="5"/>
      <c r="E21" s="5"/>
    </row>
    <row r="22" spans="1:5" x14ac:dyDescent="0.35">
      <c r="A22" s="3" t="s">
        <v>8</v>
      </c>
      <c r="B22" s="3"/>
      <c r="C22" s="3"/>
      <c r="D22" s="3"/>
      <c r="E22" s="3"/>
    </row>
    <row r="23" spans="1:5" x14ac:dyDescent="0.35">
      <c r="A23" s="15"/>
      <c r="B23" s="15"/>
      <c r="C23" s="15"/>
      <c r="D23" s="15"/>
      <c r="E23" s="15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BAC3F-8F4F-4FA9-AF76-1433ED8BED2B}">
  <dimension ref="A1:G43"/>
  <sheetViews>
    <sheetView showGridLines="0" zoomScale="70" zoomScaleNormal="70" workbookViewId="0">
      <selection activeCell="P21" sqref="P21"/>
    </sheetView>
  </sheetViews>
  <sheetFormatPr defaultRowHeight="13.2" x14ac:dyDescent="0.25"/>
  <cols>
    <col min="1" max="1" width="2.33203125" customWidth="1"/>
    <col min="2" max="2" width="5.33203125" bestFit="1" customWidth="1"/>
    <col min="3" max="3" width="11.5546875" bestFit="1" customWidth="1"/>
    <col min="4" max="4" width="13.21875" bestFit="1" customWidth="1"/>
    <col min="5" max="5" width="11.5546875" bestFit="1" customWidth="1"/>
    <col min="6" max="6" width="10.33203125" bestFit="1" customWidth="1"/>
    <col min="7" max="7" width="5.6640625" bestFit="1" customWidth="1"/>
  </cols>
  <sheetData>
    <row r="1" spans="1:5" x14ac:dyDescent="0.25">
      <c r="A1" s="4" t="s">
        <v>16</v>
      </c>
    </row>
    <row r="2" spans="1:5" x14ac:dyDescent="0.25">
      <c r="A2" s="4" t="s">
        <v>118</v>
      </c>
    </row>
    <row r="3" spans="1:5" x14ac:dyDescent="0.25">
      <c r="A3" s="4" t="s">
        <v>122</v>
      </c>
    </row>
    <row r="4" spans="1:5" x14ac:dyDescent="0.25">
      <c r="A4" s="4" t="s">
        <v>18</v>
      </c>
    </row>
    <row r="5" spans="1:5" x14ac:dyDescent="0.25">
      <c r="A5" s="4" t="s">
        <v>19</v>
      </c>
    </row>
    <row r="6" spans="1:5" x14ac:dyDescent="0.25">
      <c r="A6" s="4"/>
      <c r="B6" t="s">
        <v>94</v>
      </c>
    </row>
    <row r="7" spans="1:5" x14ac:dyDescent="0.25">
      <c r="A7" s="4"/>
      <c r="B7" t="s">
        <v>105</v>
      </c>
    </row>
    <row r="8" spans="1:5" x14ac:dyDescent="0.25">
      <c r="A8" s="4"/>
      <c r="B8" t="s">
        <v>20</v>
      </c>
    </row>
    <row r="9" spans="1:5" x14ac:dyDescent="0.25">
      <c r="A9" s="4" t="s">
        <v>21</v>
      </c>
    </row>
    <row r="10" spans="1:5" x14ac:dyDescent="0.25">
      <c r="B10" t="s">
        <v>22</v>
      </c>
    </row>
    <row r="11" spans="1:5" x14ac:dyDescent="0.25">
      <c r="B11" t="s">
        <v>23</v>
      </c>
    </row>
    <row r="14" spans="1:5" ht="13.8" thickBot="1" x14ac:dyDescent="0.3">
      <c r="A14" t="s">
        <v>24</v>
      </c>
    </row>
    <row r="15" spans="1:5" ht="13.8" thickBot="1" x14ac:dyDescent="0.3">
      <c r="B15" s="7" t="s">
        <v>25</v>
      </c>
      <c r="C15" s="7" t="s">
        <v>26</v>
      </c>
      <c r="D15" s="7" t="s">
        <v>27</v>
      </c>
      <c r="E15" s="7" t="s">
        <v>28</v>
      </c>
    </row>
    <row r="16" spans="1:5" ht="13.8" thickBot="1" x14ac:dyDescent="0.3">
      <c r="B16" s="6" t="s">
        <v>107</v>
      </c>
      <c r="C16" s="6" t="s">
        <v>108</v>
      </c>
      <c r="D16" s="9">
        <v>0</v>
      </c>
      <c r="E16" s="9">
        <v>410</v>
      </c>
    </row>
    <row r="19" spans="1:6" ht="13.8" thickBot="1" x14ac:dyDescent="0.3">
      <c r="A19" t="s">
        <v>29</v>
      </c>
    </row>
    <row r="20" spans="1:6" ht="13.8" thickBot="1" x14ac:dyDescent="0.3">
      <c r="B20" s="7" t="s">
        <v>25</v>
      </c>
      <c r="C20" s="7" t="s">
        <v>26</v>
      </c>
      <c r="D20" s="7" t="s">
        <v>27</v>
      </c>
      <c r="E20" s="7" t="s">
        <v>28</v>
      </c>
      <c r="F20" s="7" t="s">
        <v>30</v>
      </c>
    </row>
    <row r="21" spans="1:6" x14ac:dyDescent="0.25">
      <c r="B21" s="8" t="s">
        <v>36</v>
      </c>
      <c r="C21" s="8" t="s">
        <v>37</v>
      </c>
      <c r="D21" s="10">
        <v>0</v>
      </c>
      <c r="E21" s="10">
        <v>40</v>
      </c>
      <c r="F21" s="8" t="s">
        <v>38</v>
      </c>
    </row>
    <row r="22" spans="1:6" x14ac:dyDescent="0.25">
      <c r="B22" s="8" t="s">
        <v>39</v>
      </c>
      <c r="C22" s="8" t="s">
        <v>40</v>
      </c>
      <c r="D22" s="10">
        <v>0</v>
      </c>
      <c r="E22" s="10">
        <v>5</v>
      </c>
      <c r="F22" s="8" t="s">
        <v>38</v>
      </c>
    </row>
    <row r="23" spans="1:6" x14ac:dyDescent="0.25">
      <c r="B23" s="8" t="s">
        <v>41</v>
      </c>
      <c r="C23" s="8" t="s">
        <v>42</v>
      </c>
      <c r="D23" s="10">
        <v>0</v>
      </c>
      <c r="E23" s="10">
        <v>25</v>
      </c>
      <c r="F23" s="8" t="s">
        <v>38</v>
      </c>
    </row>
    <row r="24" spans="1:6" x14ac:dyDescent="0.25">
      <c r="B24" s="8" t="s">
        <v>43</v>
      </c>
      <c r="C24" s="8" t="s">
        <v>44</v>
      </c>
      <c r="D24" s="10">
        <v>0</v>
      </c>
      <c r="E24" s="10">
        <v>0</v>
      </c>
      <c r="F24" s="8" t="s">
        <v>38</v>
      </c>
    </row>
    <row r="25" spans="1:6" x14ac:dyDescent="0.25">
      <c r="B25" s="8" t="s">
        <v>45</v>
      </c>
      <c r="C25" s="8" t="s">
        <v>46</v>
      </c>
      <c r="D25" s="10">
        <v>0</v>
      </c>
      <c r="E25" s="10">
        <v>0</v>
      </c>
      <c r="F25" s="8" t="s">
        <v>38</v>
      </c>
    </row>
    <row r="26" spans="1:6" x14ac:dyDescent="0.25">
      <c r="B26" s="8" t="s">
        <v>47</v>
      </c>
      <c r="C26" s="8" t="s">
        <v>48</v>
      </c>
      <c r="D26" s="10">
        <v>0</v>
      </c>
      <c r="E26" s="10">
        <v>55</v>
      </c>
      <c r="F26" s="8" t="s">
        <v>38</v>
      </c>
    </row>
    <row r="27" spans="1:6" x14ac:dyDescent="0.25">
      <c r="B27" s="8" t="s">
        <v>49</v>
      </c>
      <c r="C27" s="8" t="s">
        <v>50</v>
      </c>
      <c r="D27" s="10">
        <v>0</v>
      </c>
      <c r="E27" s="10">
        <v>0</v>
      </c>
      <c r="F27" s="8" t="s">
        <v>38</v>
      </c>
    </row>
    <row r="28" spans="1:6" x14ac:dyDescent="0.25">
      <c r="B28" s="8" t="s">
        <v>51</v>
      </c>
      <c r="C28" s="8" t="s">
        <v>52</v>
      </c>
      <c r="D28" s="10">
        <v>0</v>
      </c>
      <c r="E28" s="10">
        <v>25</v>
      </c>
      <c r="F28" s="8" t="s">
        <v>38</v>
      </c>
    </row>
    <row r="29" spans="1:6" x14ac:dyDescent="0.25">
      <c r="B29" s="8" t="s">
        <v>53</v>
      </c>
      <c r="C29" s="8" t="s">
        <v>54</v>
      </c>
      <c r="D29" s="10">
        <v>0</v>
      </c>
      <c r="E29" s="10">
        <v>0</v>
      </c>
      <c r="F29" s="8" t="s">
        <v>38</v>
      </c>
    </row>
    <row r="30" spans="1:6" x14ac:dyDescent="0.25">
      <c r="B30" s="8" t="s">
        <v>55</v>
      </c>
      <c r="C30" s="8" t="s">
        <v>56</v>
      </c>
      <c r="D30" s="10">
        <v>0</v>
      </c>
      <c r="E30" s="10">
        <v>0</v>
      </c>
      <c r="F30" s="8" t="s">
        <v>38</v>
      </c>
    </row>
    <row r="31" spans="1:6" x14ac:dyDescent="0.25">
      <c r="B31" s="8" t="s">
        <v>57</v>
      </c>
      <c r="C31" s="8" t="s">
        <v>58</v>
      </c>
      <c r="D31" s="10">
        <v>0</v>
      </c>
      <c r="E31" s="10">
        <v>0</v>
      </c>
      <c r="F31" s="8" t="s">
        <v>38</v>
      </c>
    </row>
    <row r="32" spans="1:6" ht="13.8" thickBot="1" x14ac:dyDescent="0.3">
      <c r="B32" s="6" t="s">
        <v>59</v>
      </c>
      <c r="C32" s="6" t="s">
        <v>60</v>
      </c>
      <c r="D32" s="9">
        <v>0</v>
      </c>
      <c r="E32" s="9">
        <v>50</v>
      </c>
      <c r="F32" s="6" t="s">
        <v>38</v>
      </c>
    </row>
    <row r="35" spans="1:7" ht="13.8" thickBot="1" x14ac:dyDescent="0.3">
      <c r="A35" t="s">
        <v>31</v>
      </c>
    </row>
    <row r="36" spans="1:7" ht="13.8" thickBot="1" x14ac:dyDescent="0.3">
      <c r="B36" s="7" t="s">
        <v>25</v>
      </c>
      <c r="C36" s="7" t="s">
        <v>26</v>
      </c>
      <c r="D36" s="7" t="s">
        <v>32</v>
      </c>
      <c r="E36" s="7" t="s">
        <v>33</v>
      </c>
      <c r="F36" s="7" t="s">
        <v>34</v>
      </c>
      <c r="G36" s="7" t="s">
        <v>35</v>
      </c>
    </row>
    <row r="37" spans="1:7" x14ac:dyDescent="0.25">
      <c r="B37" s="8" t="s">
        <v>61</v>
      </c>
      <c r="C37" s="8" t="s">
        <v>62</v>
      </c>
      <c r="D37" s="10">
        <v>40</v>
      </c>
      <c r="E37" s="8" t="s">
        <v>82</v>
      </c>
      <c r="F37" s="8" t="s">
        <v>72</v>
      </c>
      <c r="G37" s="8">
        <v>0</v>
      </c>
    </row>
    <row r="38" spans="1:7" x14ac:dyDescent="0.25">
      <c r="B38" s="8" t="s">
        <v>63</v>
      </c>
      <c r="C38" s="8" t="s">
        <v>64</v>
      </c>
      <c r="D38" s="10">
        <v>60</v>
      </c>
      <c r="E38" s="8" t="s">
        <v>79</v>
      </c>
      <c r="F38" s="8" t="s">
        <v>72</v>
      </c>
      <c r="G38" s="8">
        <v>0</v>
      </c>
    </row>
    <row r="39" spans="1:7" x14ac:dyDescent="0.25">
      <c r="B39" s="8" t="s">
        <v>65</v>
      </c>
      <c r="C39" s="8" t="s">
        <v>66</v>
      </c>
      <c r="D39" s="10">
        <v>25</v>
      </c>
      <c r="E39" s="8" t="s">
        <v>80</v>
      </c>
      <c r="F39" s="8" t="s">
        <v>72</v>
      </c>
      <c r="G39" s="8">
        <v>0</v>
      </c>
    </row>
    <row r="40" spans="1:7" x14ac:dyDescent="0.25">
      <c r="B40" s="8" t="s">
        <v>67</v>
      </c>
      <c r="C40" s="8" t="s">
        <v>68</v>
      </c>
      <c r="D40" s="10">
        <v>75</v>
      </c>
      <c r="E40" s="8" t="s">
        <v>81</v>
      </c>
      <c r="F40" s="8" t="s">
        <v>72</v>
      </c>
      <c r="G40" s="8">
        <v>0</v>
      </c>
    </row>
    <row r="41" spans="1:7" x14ac:dyDescent="0.25">
      <c r="B41" s="8" t="s">
        <v>69</v>
      </c>
      <c r="C41" s="8" t="s">
        <v>70</v>
      </c>
      <c r="D41" s="10">
        <v>70</v>
      </c>
      <c r="E41" s="8" t="s">
        <v>119</v>
      </c>
      <c r="F41" s="8" t="s">
        <v>117</v>
      </c>
      <c r="G41" s="8">
        <v>20</v>
      </c>
    </row>
    <row r="42" spans="1:7" x14ac:dyDescent="0.25">
      <c r="B42" s="8" t="s">
        <v>73</v>
      </c>
      <c r="C42" s="8" t="s">
        <v>74</v>
      </c>
      <c r="D42" s="10">
        <v>80</v>
      </c>
      <c r="E42" s="8" t="s">
        <v>120</v>
      </c>
      <c r="F42" s="8" t="s">
        <v>72</v>
      </c>
      <c r="G42" s="8">
        <v>0</v>
      </c>
    </row>
    <row r="43" spans="1:7" ht="13.8" thickBot="1" x14ac:dyDescent="0.3">
      <c r="B43" s="6" t="s">
        <v>76</v>
      </c>
      <c r="C43" s="6" t="s">
        <v>77</v>
      </c>
      <c r="D43" s="9">
        <v>50</v>
      </c>
      <c r="E43" s="6" t="s">
        <v>121</v>
      </c>
      <c r="F43" s="6" t="s">
        <v>72</v>
      </c>
      <c r="G43" s="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9A113-2230-4E17-9E52-E104348808E8}">
  <dimension ref="A1:H31"/>
  <sheetViews>
    <sheetView showGridLines="0" zoomScaleNormal="100" workbookViewId="0">
      <selection activeCell="M14" sqref="M14"/>
    </sheetView>
  </sheetViews>
  <sheetFormatPr defaultRowHeight="13.2" x14ac:dyDescent="0.25"/>
  <cols>
    <col min="1" max="1" width="2.33203125" customWidth="1"/>
    <col min="2" max="2" width="5.33203125" bestFit="1" customWidth="1"/>
    <col min="3" max="3" width="8.33203125" bestFit="1" customWidth="1"/>
    <col min="4" max="4" width="5.77734375" bestFit="1" customWidth="1"/>
    <col min="5" max="5" width="8.6640625" bestFit="1" customWidth="1"/>
    <col min="6" max="6" width="10.21875" bestFit="1" customWidth="1"/>
    <col min="7" max="8" width="9.21875" bestFit="1" customWidth="1"/>
  </cols>
  <sheetData>
    <row r="1" spans="1:8" x14ac:dyDescent="0.25">
      <c r="A1" s="4" t="s">
        <v>83</v>
      </c>
    </row>
    <row r="2" spans="1:8" x14ac:dyDescent="0.25">
      <c r="A2" s="4" t="s">
        <v>118</v>
      </c>
    </row>
    <row r="3" spans="1:8" x14ac:dyDescent="0.25">
      <c r="A3" s="4" t="s">
        <v>122</v>
      </c>
    </row>
    <row r="6" spans="1:8" ht="13.8" thickBot="1" x14ac:dyDescent="0.3">
      <c r="A6" t="s">
        <v>29</v>
      </c>
    </row>
    <row r="7" spans="1:8" x14ac:dyDescent="0.25">
      <c r="B7" s="11"/>
      <c r="C7" s="11"/>
      <c r="D7" s="11" t="s">
        <v>84</v>
      </c>
      <c r="E7" s="11" t="s">
        <v>86</v>
      </c>
      <c r="F7" s="11" t="s">
        <v>88</v>
      </c>
      <c r="G7" s="11" t="s">
        <v>97</v>
      </c>
      <c r="H7" s="11" t="s">
        <v>97</v>
      </c>
    </row>
    <row r="8" spans="1:8" ht="13.8" thickBot="1" x14ac:dyDescent="0.3">
      <c r="B8" s="12" t="s">
        <v>25</v>
      </c>
      <c r="C8" s="12" t="s">
        <v>26</v>
      </c>
      <c r="D8" s="12" t="s">
        <v>85</v>
      </c>
      <c r="E8" s="12" t="s">
        <v>95</v>
      </c>
      <c r="F8" s="12" t="s">
        <v>96</v>
      </c>
      <c r="G8" s="12" t="s">
        <v>98</v>
      </c>
      <c r="H8" s="12" t="s">
        <v>99</v>
      </c>
    </row>
    <row r="9" spans="1:8" x14ac:dyDescent="0.25">
      <c r="B9" s="8" t="s">
        <v>36</v>
      </c>
      <c r="C9" s="8" t="s">
        <v>37</v>
      </c>
      <c r="D9" s="8">
        <v>40</v>
      </c>
      <c r="E9" s="8">
        <v>0</v>
      </c>
      <c r="F9" s="8">
        <v>2</v>
      </c>
      <c r="G9" s="8">
        <v>2</v>
      </c>
      <c r="H9" s="8">
        <v>1E+30</v>
      </c>
    </row>
    <row r="10" spans="1:8" x14ac:dyDescent="0.25">
      <c r="B10" s="8" t="s">
        <v>39</v>
      </c>
      <c r="C10" s="8" t="s">
        <v>40</v>
      </c>
      <c r="D10" s="8">
        <v>5</v>
      </c>
      <c r="E10" s="8">
        <v>0</v>
      </c>
      <c r="F10" s="8">
        <v>4</v>
      </c>
      <c r="G10" s="8">
        <v>1</v>
      </c>
      <c r="H10" s="8">
        <v>2</v>
      </c>
    </row>
    <row r="11" spans="1:8" x14ac:dyDescent="0.25">
      <c r="B11" s="8" t="s">
        <v>41</v>
      </c>
      <c r="C11" s="8" t="s">
        <v>42</v>
      </c>
      <c r="D11" s="8">
        <v>25</v>
      </c>
      <c r="E11" s="8">
        <v>0</v>
      </c>
      <c r="F11" s="8">
        <v>1</v>
      </c>
      <c r="G11" s="8">
        <v>5</v>
      </c>
      <c r="H11" s="8">
        <v>1E+30</v>
      </c>
    </row>
    <row r="12" spans="1:8" x14ac:dyDescent="0.25">
      <c r="B12" s="8" t="s">
        <v>43</v>
      </c>
      <c r="C12" s="8" t="s">
        <v>44</v>
      </c>
      <c r="D12" s="8">
        <v>0</v>
      </c>
      <c r="E12" s="8">
        <v>1</v>
      </c>
      <c r="F12" s="8">
        <v>6</v>
      </c>
      <c r="G12" s="8">
        <v>1E+30</v>
      </c>
      <c r="H12" s="8">
        <v>1</v>
      </c>
    </row>
    <row r="13" spans="1:8" x14ac:dyDescent="0.25">
      <c r="B13" s="8" t="s">
        <v>45</v>
      </c>
      <c r="C13" s="8" t="s">
        <v>46</v>
      </c>
      <c r="D13" s="8">
        <v>0</v>
      </c>
      <c r="E13" s="8">
        <v>2</v>
      </c>
      <c r="F13" s="8">
        <v>2</v>
      </c>
      <c r="G13" s="8">
        <v>1E+30</v>
      </c>
      <c r="H13" s="8">
        <v>2</v>
      </c>
    </row>
    <row r="14" spans="1:8" x14ac:dyDescent="0.25">
      <c r="B14" s="8" t="s">
        <v>47</v>
      </c>
      <c r="C14" s="8" t="s">
        <v>48</v>
      </c>
      <c r="D14" s="8">
        <v>55</v>
      </c>
      <c r="E14" s="8">
        <v>0</v>
      </c>
      <c r="F14" s="8">
        <v>2</v>
      </c>
      <c r="G14" s="8">
        <v>1</v>
      </c>
      <c r="H14" s="8">
        <v>1</v>
      </c>
    </row>
    <row r="15" spans="1:8" x14ac:dyDescent="0.25">
      <c r="B15" s="8" t="s">
        <v>49</v>
      </c>
      <c r="C15" s="8" t="s">
        <v>50</v>
      </c>
      <c r="D15" s="8">
        <v>0</v>
      </c>
      <c r="E15" s="8">
        <v>5</v>
      </c>
      <c r="F15" s="8">
        <v>4</v>
      </c>
      <c r="G15" s="8">
        <v>1E+30</v>
      </c>
      <c r="H15" s="8">
        <v>5</v>
      </c>
    </row>
    <row r="16" spans="1:8" x14ac:dyDescent="0.25">
      <c r="B16" s="8" t="s">
        <v>51</v>
      </c>
      <c r="C16" s="8" t="s">
        <v>52</v>
      </c>
      <c r="D16" s="8">
        <v>25</v>
      </c>
      <c r="E16" s="8">
        <v>0</v>
      </c>
      <c r="F16" s="8">
        <v>3</v>
      </c>
      <c r="G16" s="8">
        <v>1</v>
      </c>
      <c r="H16" s="8">
        <v>1</v>
      </c>
    </row>
    <row r="17" spans="1:8" x14ac:dyDescent="0.25">
      <c r="B17" s="8" t="s">
        <v>53</v>
      </c>
      <c r="C17" s="8" t="s">
        <v>54</v>
      </c>
      <c r="D17" s="8">
        <v>0</v>
      </c>
      <c r="E17" s="8">
        <v>2</v>
      </c>
      <c r="F17" s="8">
        <v>1</v>
      </c>
      <c r="G17" s="8">
        <v>1E+30</v>
      </c>
      <c r="H17" s="8">
        <v>2</v>
      </c>
    </row>
    <row r="18" spans="1:8" x14ac:dyDescent="0.25">
      <c r="B18" s="8" t="s">
        <v>55</v>
      </c>
      <c r="C18" s="8" t="s">
        <v>56</v>
      </c>
      <c r="D18" s="8">
        <v>0</v>
      </c>
      <c r="E18" s="8">
        <v>1</v>
      </c>
      <c r="F18" s="8">
        <v>2</v>
      </c>
      <c r="G18" s="8">
        <v>1E+30</v>
      </c>
      <c r="H18" s="8">
        <v>1</v>
      </c>
    </row>
    <row r="19" spans="1:8" x14ac:dyDescent="0.25">
      <c r="B19" s="8" t="s">
        <v>57</v>
      </c>
      <c r="C19" s="8" t="s">
        <v>58</v>
      </c>
      <c r="D19" s="8">
        <v>0</v>
      </c>
      <c r="E19" s="8">
        <v>5</v>
      </c>
      <c r="F19" s="8">
        <v>3</v>
      </c>
      <c r="G19" s="8">
        <v>1E+30</v>
      </c>
      <c r="H19" s="8">
        <v>5</v>
      </c>
    </row>
    <row r="20" spans="1:8" ht="13.8" thickBot="1" x14ac:dyDescent="0.3">
      <c r="B20" s="6" t="s">
        <v>59</v>
      </c>
      <c r="C20" s="6" t="s">
        <v>60</v>
      </c>
      <c r="D20" s="6">
        <v>50</v>
      </c>
      <c r="E20" s="6">
        <v>0</v>
      </c>
      <c r="F20" s="6">
        <v>2</v>
      </c>
      <c r="G20" s="6">
        <v>1</v>
      </c>
      <c r="H20" s="6">
        <v>1E+30</v>
      </c>
    </row>
    <row r="22" spans="1:8" ht="13.8" thickBot="1" x14ac:dyDescent="0.3">
      <c r="A22" t="s">
        <v>31</v>
      </c>
    </row>
    <row r="23" spans="1:8" x14ac:dyDescent="0.25">
      <c r="B23" s="11"/>
      <c r="C23" s="11"/>
      <c r="D23" s="11" t="s">
        <v>84</v>
      </c>
      <c r="E23" s="11" t="s">
        <v>100</v>
      </c>
      <c r="F23" s="11" t="s">
        <v>102</v>
      </c>
      <c r="G23" s="11" t="s">
        <v>97</v>
      </c>
      <c r="H23" s="11" t="s">
        <v>97</v>
      </c>
    </row>
    <row r="24" spans="1:8" ht="13.8" thickBot="1" x14ac:dyDescent="0.3">
      <c r="B24" s="12" t="s">
        <v>25</v>
      </c>
      <c r="C24" s="12" t="s">
        <v>26</v>
      </c>
      <c r="D24" s="12" t="s">
        <v>85</v>
      </c>
      <c r="E24" s="12" t="s">
        <v>101</v>
      </c>
      <c r="F24" s="12" t="s">
        <v>103</v>
      </c>
      <c r="G24" s="12" t="s">
        <v>98</v>
      </c>
      <c r="H24" s="12" t="s">
        <v>99</v>
      </c>
    </row>
    <row r="25" spans="1:8" x14ac:dyDescent="0.25">
      <c r="B25" s="8" t="s">
        <v>61</v>
      </c>
      <c r="C25" s="8" t="s">
        <v>62</v>
      </c>
      <c r="D25" s="8">
        <v>40</v>
      </c>
      <c r="E25" s="8">
        <v>2</v>
      </c>
      <c r="F25" s="8">
        <v>40</v>
      </c>
      <c r="G25" s="8">
        <v>20</v>
      </c>
      <c r="H25" s="8">
        <v>40</v>
      </c>
    </row>
    <row r="26" spans="1:8" x14ac:dyDescent="0.25">
      <c r="B26" s="8" t="s">
        <v>63</v>
      </c>
      <c r="C26" s="8" t="s">
        <v>64</v>
      </c>
      <c r="D26" s="8">
        <v>60</v>
      </c>
      <c r="E26" s="8">
        <v>4</v>
      </c>
      <c r="F26" s="8">
        <v>60</v>
      </c>
      <c r="G26" s="8">
        <v>20</v>
      </c>
      <c r="H26" s="8">
        <v>5</v>
      </c>
    </row>
    <row r="27" spans="1:8" x14ac:dyDescent="0.25">
      <c r="B27" s="8" t="s">
        <v>65</v>
      </c>
      <c r="C27" s="8" t="s">
        <v>66</v>
      </c>
      <c r="D27" s="8">
        <v>25</v>
      </c>
      <c r="E27" s="8">
        <v>1</v>
      </c>
      <c r="F27" s="8">
        <v>25</v>
      </c>
      <c r="G27" s="8">
        <v>20</v>
      </c>
      <c r="H27" s="8">
        <v>25</v>
      </c>
    </row>
    <row r="28" spans="1:8" x14ac:dyDescent="0.25">
      <c r="B28" s="8" t="s">
        <v>67</v>
      </c>
      <c r="C28" s="8" t="s">
        <v>68</v>
      </c>
      <c r="D28" s="8">
        <v>75</v>
      </c>
      <c r="E28" s="8">
        <v>5</v>
      </c>
      <c r="F28" s="8">
        <v>75</v>
      </c>
      <c r="G28" s="8">
        <v>20</v>
      </c>
      <c r="H28" s="8">
        <v>5</v>
      </c>
    </row>
    <row r="29" spans="1:8" x14ac:dyDescent="0.25">
      <c r="B29" s="8" t="s">
        <v>69</v>
      </c>
      <c r="C29" s="8" t="s">
        <v>70</v>
      </c>
      <c r="D29" s="8">
        <v>70</v>
      </c>
      <c r="E29" s="8">
        <v>0</v>
      </c>
      <c r="F29" s="8">
        <v>90</v>
      </c>
      <c r="G29" s="8">
        <v>1E+30</v>
      </c>
      <c r="H29" s="8">
        <v>20</v>
      </c>
    </row>
    <row r="30" spans="1:8" x14ac:dyDescent="0.25">
      <c r="B30" s="8" t="s">
        <v>73</v>
      </c>
      <c r="C30" s="8" t="s">
        <v>74</v>
      </c>
      <c r="D30" s="8">
        <v>80</v>
      </c>
      <c r="E30" s="8">
        <v>-2</v>
      </c>
      <c r="F30" s="8">
        <v>80</v>
      </c>
      <c r="G30" s="8">
        <v>5</v>
      </c>
      <c r="H30" s="8">
        <v>20</v>
      </c>
    </row>
    <row r="31" spans="1:8" ht="13.8" thickBot="1" x14ac:dyDescent="0.3">
      <c r="B31" s="6" t="s">
        <v>76</v>
      </c>
      <c r="C31" s="6" t="s">
        <v>77</v>
      </c>
      <c r="D31" s="6">
        <v>50</v>
      </c>
      <c r="E31" s="6">
        <v>-3</v>
      </c>
      <c r="F31" s="6">
        <v>50</v>
      </c>
      <c r="G31" s="6">
        <v>5</v>
      </c>
      <c r="H31" s="6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187A-DFBF-469D-BAF9-C082B39C92E8}">
  <dimension ref="A1:J24"/>
  <sheetViews>
    <sheetView showGridLines="0" workbookViewId="0">
      <selection activeCell="N31" sqref="N31"/>
    </sheetView>
  </sheetViews>
  <sheetFormatPr defaultRowHeight="13.2" x14ac:dyDescent="0.25"/>
  <cols>
    <col min="1" max="1" width="2.33203125" customWidth="1"/>
    <col min="2" max="2" width="5.33203125" bestFit="1" customWidth="1"/>
    <col min="3" max="3" width="11.5546875" bestFit="1" customWidth="1"/>
    <col min="4" max="4" width="5.77734375" bestFit="1" customWidth="1"/>
    <col min="5" max="5" width="2.33203125" customWidth="1"/>
    <col min="6" max="6" width="6.44140625" bestFit="1" customWidth="1"/>
    <col min="7" max="7" width="9.109375" bestFit="1" customWidth="1"/>
    <col min="8" max="8" width="2.33203125" customWidth="1"/>
    <col min="9" max="9" width="6.33203125" bestFit="1" customWidth="1"/>
    <col min="10" max="10" width="9.109375" bestFit="1" customWidth="1"/>
  </cols>
  <sheetData>
    <row r="1" spans="1:10" x14ac:dyDescent="0.25">
      <c r="A1" s="4" t="s">
        <v>87</v>
      </c>
    </row>
    <row r="2" spans="1:10" x14ac:dyDescent="0.25">
      <c r="A2" s="4" t="s">
        <v>118</v>
      </c>
    </row>
    <row r="3" spans="1:10" x14ac:dyDescent="0.25">
      <c r="A3" s="4" t="s">
        <v>122</v>
      </c>
    </row>
    <row r="5" spans="1:10" ht="13.8" thickBot="1" x14ac:dyDescent="0.3"/>
    <row r="6" spans="1:10" x14ac:dyDescent="0.25">
      <c r="B6" s="11"/>
      <c r="C6" s="11" t="s">
        <v>88</v>
      </c>
      <c r="D6" s="11"/>
    </row>
    <row r="7" spans="1:10" ht="13.8" thickBot="1" x14ac:dyDescent="0.3">
      <c r="B7" s="12" t="s">
        <v>25</v>
      </c>
      <c r="C7" s="12" t="s">
        <v>26</v>
      </c>
      <c r="D7" s="12" t="s">
        <v>85</v>
      </c>
    </row>
    <row r="8" spans="1:10" ht="13.8" thickBot="1" x14ac:dyDescent="0.3">
      <c r="B8" s="6" t="s">
        <v>107</v>
      </c>
      <c r="C8" s="6" t="s">
        <v>108</v>
      </c>
      <c r="D8" s="9">
        <v>410</v>
      </c>
    </row>
    <row r="10" spans="1:10" ht="13.8" thickBot="1" x14ac:dyDescent="0.3"/>
    <row r="11" spans="1:10" x14ac:dyDescent="0.25">
      <c r="B11" s="11"/>
      <c r="C11" s="11" t="s">
        <v>89</v>
      </c>
      <c r="D11" s="11"/>
      <c r="F11" s="11" t="s">
        <v>90</v>
      </c>
      <c r="G11" s="11" t="s">
        <v>88</v>
      </c>
      <c r="I11" s="11" t="s">
        <v>93</v>
      </c>
      <c r="J11" s="11" t="s">
        <v>88</v>
      </c>
    </row>
    <row r="12" spans="1:10" ht="13.8" thickBot="1" x14ac:dyDescent="0.3">
      <c r="B12" s="12" t="s">
        <v>25</v>
      </c>
      <c r="C12" s="12" t="s">
        <v>26</v>
      </c>
      <c r="D12" s="12" t="s">
        <v>85</v>
      </c>
      <c r="F12" s="12" t="s">
        <v>91</v>
      </c>
      <c r="G12" s="12" t="s">
        <v>92</v>
      </c>
      <c r="I12" s="12" t="s">
        <v>91</v>
      </c>
      <c r="J12" s="12" t="s">
        <v>92</v>
      </c>
    </row>
    <row r="13" spans="1:10" x14ac:dyDescent="0.25">
      <c r="B13" s="8" t="s">
        <v>36</v>
      </c>
      <c r="C13" s="8" t="s">
        <v>37</v>
      </c>
      <c r="D13" s="10">
        <v>40</v>
      </c>
      <c r="F13" s="10">
        <v>40</v>
      </c>
      <c r="G13" s="10">
        <v>410</v>
      </c>
      <c r="I13" s="10">
        <v>40</v>
      </c>
      <c r="J13" s="10">
        <v>410</v>
      </c>
    </row>
    <row r="14" spans="1:10" x14ac:dyDescent="0.25">
      <c r="B14" s="8" t="s">
        <v>39</v>
      </c>
      <c r="C14" s="8" t="s">
        <v>40</v>
      </c>
      <c r="D14" s="10">
        <v>5</v>
      </c>
      <c r="F14" s="10">
        <v>5</v>
      </c>
      <c r="G14" s="10">
        <v>410</v>
      </c>
      <c r="I14" s="10">
        <v>5</v>
      </c>
      <c r="J14" s="10">
        <v>410</v>
      </c>
    </row>
    <row r="15" spans="1:10" x14ac:dyDescent="0.25">
      <c r="B15" s="8" t="s">
        <v>41</v>
      </c>
      <c r="C15" s="8" t="s">
        <v>42</v>
      </c>
      <c r="D15" s="10">
        <v>25</v>
      </c>
      <c r="F15" s="10">
        <v>25</v>
      </c>
      <c r="G15" s="10">
        <v>410</v>
      </c>
      <c r="I15" s="10">
        <v>25</v>
      </c>
      <c r="J15" s="10">
        <v>410</v>
      </c>
    </row>
    <row r="16" spans="1:10" x14ac:dyDescent="0.25">
      <c r="B16" s="8" t="s">
        <v>43</v>
      </c>
      <c r="C16" s="8" t="s">
        <v>44</v>
      </c>
      <c r="D16" s="10">
        <v>0</v>
      </c>
      <c r="F16" s="10">
        <v>0</v>
      </c>
      <c r="G16" s="10">
        <v>410</v>
      </c>
      <c r="I16" s="10">
        <v>0</v>
      </c>
      <c r="J16" s="10">
        <v>410</v>
      </c>
    </row>
    <row r="17" spans="2:10" x14ac:dyDescent="0.25">
      <c r="B17" s="8" t="s">
        <v>45</v>
      </c>
      <c r="C17" s="8" t="s">
        <v>46</v>
      </c>
      <c r="D17" s="10">
        <v>0</v>
      </c>
      <c r="F17" s="10">
        <v>0</v>
      </c>
      <c r="G17" s="10">
        <v>410</v>
      </c>
      <c r="I17" s="10">
        <v>0</v>
      </c>
      <c r="J17" s="10">
        <v>410</v>
      </c>
    </row>
    <row r="18" spans="2:10" x14ac:dyDescent="0.25">
      <c r="B18" s="8" t="s">
        <v>47</v>
      </c>
      <c r="C18" s="8" t="s">
        <v>48</v>
      </c>
      <c r="D18" s="10">
        <v>55</v>
      </c>
      <c r="F18" s="10">
        <v>55</v>
      </c>
      <c r="G18" s="10">
        <v>410</v>
      </c>
      <c r="I18" s="10">
        <v>55</v>
      </c>
      <c r="J18" s="10">
        <v>410</v>
      </c>
    </row>
    <row r="19" spans="2:10" x14ac:dyDescent="0.25">
      <c r="B19" s="8" t="s">
        <v>49</v>
      </c>
      <c r="C19" s="8" t="s">
        <v>50</v>
      </c>
      <c r="D19" s="10">
        <v>0</v>
      </c>
      <c r="F19" s="10">
        <v>0</v>
      </c>
      <c r="G19" s="10">
        <v>410</v>
      </c>
      <c r="I19" s="10">
        <v>0</v>
      </c>
      <c r="J19" s="10">
        <v>410</v>
      </c>
    </row>
    <row r="20" spans="2:10" x14ac:dyDescent="0.25">
      <c r="B20" s="8" t="s">
        <v>51</v>
      </c>
      <c r="C20" s="8" t="s">
        <v>52</v>
      </c>
      <c r="D20" s="10">
        <v>25</v>
      </c>
      <c r="F20" s="10">
        <v>25</v>
      </c>
      <c r="G20" s="10">
        <v>410</v>
      </c>
      <c r="I20" s="10">
        <v>25</v>
      </c>
      <c r="J20" s="10">
        <v>410</v>
      </c>
    </row>
    <row r="21" spans="2:10" x14ac:dyDescent="0.25">
      <c r="B21" s="8" t="s">
        <v>53</v>
      </c>
      <c r="C21" s="8" t="s">
        <v>54</v>
      </c>
      <c r="D21" s="10">
        <v>0</v>
      </c>
      <c r="F21" s="10">
        <v>0</v>
      </c>
      <c r="G21" s="10">
        <v>410</v>
      </c>
      <c r="I21" s="10">
        <v>0</v>
      </c>
      <c r="J21" s="10">
        <v>410</v>
      </c>
    </row>
    <row r="22" spans="2:10" x14ac:dyDescent="0.25">
      <c r="B22" s="8" t="s">
        <v>55</v>
      </c>
      <c r="C22" s="8" t="s">
        <v>56</v>
      </c>
      <c r="D22" s="10">
        <v>0</v>
      </c>
      <c r="F22" s="10">
        <v>0</v>
      </c>
      <c r="G22" s="10">
        <v>410</v>
      </c>
      <c r="I22" s="10">
        <v>0</v>
      </c>
      <c r="J22" s="10">
        <v>410</v>
      </c>
    </row>
    <row r="23" spans="2:10" x14ac:dyDescent="0.25">
      <c r="B23" s="8" t="s">
        <v>57</v>
      </c>
      <c r="C23" s="8" t="s">
        <v>58</v>
      </c>
      <c r="D23" s="10">
        <v>0</v>
      </c>
      <c r="F23" s="10">
        <v>0</v>
      </c>
      <c r="G23" s="10">
        <v>410</v>
      </c>
      <c r="I23" s="10">
        <v>0</v>
      </c>
      <c r="J23" s="10">
        <v>410</v>
      </c>
    </row>
    <row r="24" spans="2:10" ht="13.8" thickBot="1" x14ac:dyDescent="0.3">
      <c r="B24" s="6" t="s">
        <v>59</v>
      </c>
      <c r="C24" s="6" t="s">
        <v>60</v>
      </c>
      <c r="D24" s="9">
        <v>50</v>
      </c>
      <c r="F24" s="9">
        <v>50</v>
      </c>
      <c r="G24" s="9">
        <v>410</v>
      </c>
      <c r="I24" s="9">
        <v>50</v>
      </c>
      <c r="J24" s="9">
        <v>410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5B09-6DE4-432F-81A8-71F247C23FB8}">
  <dimension ref="A1:H23"/>
  <sheetViews>
    <sheetView tabSelected="1" zoomScale="70" zoomScaleNormal="70" workbookViewId="0">
      <selection activeCell="L11" sqref="L11"/>
    </sheetView>
  </sheetViews>
  <sheetFormatPr defaultColWidth="11.5546875" defaultRowHeight="18" x14ac:dyDescent="0.35"/>
  <cols>
    <col min="1" max="1" width="31.44140625" style="1" customWidth="1"/>
    <col min="2" max="6" width="11.5546875" style="1"/>
    <col min="7" max="7" width="18.6640625" style="1" bestFit="1" customWidth="1"/>
  </cols>
  <sheetData>
    <row r="1" spans="1:8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10</v>
      </c>
      <c r="H1" s="2" t="s">
        <v>5</v>
      </c>
    </row>
    <row r="2" spans="1:8" x14ac:dyDescent="0.25">
      <c r="A2" s="2" t="s">
        <v>6</v>
      </c>
      <c r="B2" s="2">
        <v>40</v>
      </c>
      <c r="C2" s="2">
        <v>5</v>
      </c>
      <c r="D2" s="2">
        <v>25</v>
      </c>
      <c r="E2" s="2">
        <v>0</v>
      </c>
      <c r="F2" s="2">
        <f>SUM(B2:E2)</f>
        <v>70</v>
      </c>
      <c r="G2" s="2" t="s">
        <v>11</v>
      </c>
      <c r="H2" s="2">
        <v>90</v>
      </c>
    </row>
    <row r="3" spans="1:8" x14ac:dyDescent="0.25">
      <c r="A3" s="2" t="s">
        <v>7</v>
      </c>
      <c r="B3" s="2">
        <v>0</v>
      </c>
      <c r="C3" s="2">
        <v>55</v>
      </c>
      <c r="D3" s="2">
        <v>0</v>
      </c>
      <c r="E3" s="2">
        <v>25</v>
      </c>
      <c r="F3" s="2">
        <f>SUM(B3:E3)</f>
        <v>80</v>
      </c>
      <c r="G3" s="2" t="s">
        <v>11</v>
      </c>
      <c r="H3" s="2">
        <v>80</v>
      </c>
    </row>
    <row r="4" spans="1:8" x14ac:dyDescent="0.25">
      <c r="A4" s="2" t="s">
        <v>8</v>
      </c>
      <c r="B4" s="2">
        <v>0</v>
      </c>
      <c r="C4" s="2">
        <v>0</v>
      </c>
      <c r="D4" s="2">
        <v>0</v>
      </c>
      <c r="E4" s="2">
        <v>50</v>
      </c>
      <c r="F4" s="2">
        <f>SUM(B4:E4)</f>
        <v>50</v>
      </c>
      <c r="G4" s="2" t="s">
        <v>11</v>
      </c>
      <c r="H4" s="2">
        <v>50</v>
      </c>
    </row>
    <row r="5" spans="1:8" x14ac:dyDescent="0.25">
      <c r="A5" s="2" t="s">
        <v>9</v>
      </c>
      <c r="B5" s="2">
        <f>SUM(B2:B4)</f>
        <v>40</v>
      </c>
      <c r="C5" s="2">
        <f>SUM(C2:C4)</f>
        <v>60</v>
      </c>
      <c r="D5" s="2">
        <f>SUM(D2:D4)</f>
        <v>25</v>
      </c>
      <c r="E5" s="2">
        <f>SUM(E2:E4)</f>
        <v>75</v>
      </c>
      <c r="F5" s="2"/>
      <c r="G5" s="2"/>
      <c r="H5" s="2"/>
    </row>
    <row r="6" spans="1:8" x14ac:dyDescent="0.25">
      <c r="A6" s="2" t="s">
        <v>10</v>
      </c>
      <c r="B6" s="2" t="s">
        <v>11</v>
      </c>
      <c r="C6" s="2" t="s">
        <v>11</v>
      </c>
      <c r="D6" s="2" t="s">
        <v>11</v>
      </c>
      <c r="E6" s="2" t="s">
        <v>11</v>
      </c>
      <c r="F6" s="2"/>
      <c r="G6" s="2" t="s">
        <v>104</v>
      </c>
      <c r="H6" s="2"/>
    </row>
    <row r="7" spans="1:8" x14ac:dyDescent="0.25">
      <c r="A7" s="2" t="s">
        <v>12</v>
      </c>
      <c r="B7" s="2">
        <v>40</v>
      </c>
      <c r="C7" s="2">
        <v>60</v>
      </c>
      <c r="D7" s="2">
        <v>25</v>
      </c>
      <c r="E7" s="2">
        <v>75</v>
      </c>
      <c r="F7" s="2"/>
      <c r="G7" s="2">
        <f>SUMPRODUCT(B2:E4,B10:E12)</f>
        <v>410</v>
      </c>
      <c r="H7" s="2"/>
    </row>
    <row r="8" spans="1:8" x14ac:dyDescent="0.25">
      <c r="A8" s="13"/>
      <c r="B8" s="14"/>
      <c r="C8" s="14"/>
      <c r="D8" s="14"/>
      <c r="E8" s="14"/>
      <c r="F8" s="13"/>
      <c r="G8" s="14"/>
      <c r="H8" s="13"/>
    </row>
    <row r="9" spans="1:8" x14ac:dyDescent="0.35">
      <c r="A9" s="3" t="s">
        <v>13</v>
      </c>
      <c r="B9" s="3"/>
      <c r="C9" s="3"/>
      <c r="D9" s="3"/>
      <c r="E9" s="3"/>
    </row>
    <row r="10" spans="1:8" x14ac:dyDescent="0.35">
      <c r="A10" s="3" t="s">
        <v>6</v>
      </c>
      <c r="B10" s="3">
        <v>2</v>
      </c>
      <c r="C10" s="3">
        <v>4</v>
      </c>
      <c r="D10" s="3">
        <v>1</v>
      </c>
      <c r="E10" s="3">
        <v>6</v>
      </c>
    </row>
    <row r="11" spans="1:8" x14ac:dyDescent="0.35">
      <c r="A11" s="3" t="s">
        <v>7</v>
      </c>
      <c r="B11" s="3">
        <v>2</v>
      </c>
      <c r="C11" s="3">
        <v>2</v>
      </c>
      <c r="D11" s="3">
        <v>4</v>
      </c>
      <c r="E11" s="3">
        <v>3</v>
      </c>
    </row>
    <row r="12" spans="1:8" x14ac:dyDescent="0.35">
      <c r="A12" s="3" t="s">
        <v>8</v>
      </c>
      <c r="B12" s="3">
        <v>1</v>
      </c>
      <c r="C12" s="3">
        <v>2</v>
      </c>
      <c r="D12" s="3">
        <v>3</v>
      </c>
      <c r="E12" s="3">
        <v>2</v>
      </c>
    </row>
    <row r="14" spans="1:8" x14ac:dyDescent="0.35">
      <c r="A14" s="5" t="s">
        <v>14</v>
      </c>
      <c r="B14" s="5"/>
      <c r="C14" s="5"/>
      <c r="D14" s="5"/>
      <c r="E14" s="5"/>
    </row>
    <row r="15" spans="1:8" x14ac:dyDescent="0.35">
      <c r="A15" s="5" t="s">
        <v>6</v>
      </c>
      <c r="B15" s="5"/>
      <c r="C15" s="5"/>
      <c r="D15" s="5"/>
      <c r="E15" s="5"/>
    </row>
    <row r="16" spans="1:8" x14ac:dyDescent="0.35">
      <c r="A16" s="5" t="s">
        <v>7</v>
      </c>
      <c r="B16" s="5"/>
      <c r="C16" s="5"/>
      <c r="D16" s="5"/>
      <c r="E16" s="5"/>
    </row>
    <row r="17" spans="1:5" x14ac:dyDescent="0.35">
      <c r="A17" s="5" t="s">
        <v>8</v>
      </c>
      <c r="B17" s="5"/>
      <c r="C17" s="5"/>
      <c r="D17" s="5"/>
      <c r="E17" s="5"/>
    </row>
    <row r="19" spans="1:5" x14ac:dyDescent="0.35">
      <c r="A19" s="5" t="s">
        <v>15</v>
      </c>
      <c r="B19" s="5"/>
      <c r="C19" s="5"/>
      <c r="D19" s="5"/>
      <c r="E19" s="5"/>
    </row>
    <row r="20" spans="1:5" x14ac:dyDescent="0.35">
      <c r="A20" s="5" t="s">
        <v>6</v>
      </c>
      <c r="B20" s="5"/>
      <c r="C20" s="5"/>
      <c r="D20" s="5"/>
      <c r="E20" s="5"/>
    </row>
    <row r="21" spans="1:5" x14ac:dyDescent="0.35">
      <c r="A21" s="5" t="s">
        <v>7</v>
      </c>
      <c r="B21" s="5"/>
      <c r="C21" s="5"/>
      <c r="D21" s="5"/>
      <c r="E21" s="5"/>
    </row>
    <row r="22" spans="1:5" x14ac:dyDescent="0.35">
      <c r="A22" s="3" t="s">
        <v>8</v>
      </c>
      <c r="B22" s="3"/>
      <c r="C22" s="3"/>
      <c r="D22" s="3"/>
      <c r="E22" s="3"/>
    </row>
    <row r="23" spans="1:5" x14ac:dyDescent="0.35">
      <c r="A23" s="15"/>
      <c r="B23" s="15"/>
      <c r="C23" s="15"/>
      <c r="D23" s="15"/>
      <c r="E23" s="15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Answer Report 1</vt:lpstr>
      <vt:lpstr>Sensitivity Report 1</vt:lpstr>
      <vt:lpstr>Limits Report 1</vt:lpstr>
      <vt:lpstr>Task1</vt:lpstr>
      <vt:lpstr>Answer Report 2</vt:lpstr>
      <vt:lpstr>Sensitivity Report 2</vt:lpstr>
      <vt:lpstr>Limits Report 2</vt:lpstr>
      <vt:lpstr>Task2</vt:lpstr>
      <vt:lpstr>Answer Report 3</vt:lpstr>
      <vt:lpstr>Sensitivity Report 3</vt:lpstr>
      <vt:lpstr>Limits Report 3</vt:lpstr>
      <vt:lpstr>Task3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Fearless Atom</cp:lastModifiedBy>
  <cp:revision>1</cp:revision>
  <dcterms:created xsi:type="dcterms:W3CDTF">2026-05-13T08:02:10Z</dcterms:created>
  <dcterms:modified xsi:type="dcterms:W3CDTF">2026-05-13T06:03:09Z</dcterms:modified>
  <dc:language>en-US</dc:language>
</cp:coreProperties>
</file>