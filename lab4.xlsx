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omg\Desktop\"/>
    </mc:Choice>
  </mc:AlternateContent>
  <xr:revisionPtr revIDLastSave="0" documentId="13_ncr:1_{F30A6832-0B87-44C0-AC74-C9B76B540FDC}" xr6:coauthVersionLast="47" xr6:coauthVersionMax="47" xr10:uidLastSave="{00000000-0000-0000-0000-000000000000}"/>
  <bookViews>
    <workbookView xWindow="-108" yWindow="-108" windowWidth="23256" windowHeight="12576" xr2:uid="{E69A349C-DB63-4430-9DD4-933CC0954894}"/>
  </bookViews>
  <sheets>
    <sheet name="3.1" sheetId="3" r:id="rId1"/>
    <sheet name="3.2" sheetId="1" r:id="rId2"/>
    <sheet name="3.3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8" i="2" l="1"/>
  <c r="H38" i="2" s="1"/>
  <c r="K38" i="2" s="1"/>
  <c r="N38" i="2" s="1"/>
  <c r="F38" i="2"/>
  <c r="I38" i="2" s="1"/>
  <c r="L38" i="2" s="1"/>
  <c r="O38" i="2" s="1"/>
  <c r="G38" i="2"/>
  <c r="J38" i="2"/>
  <c r="M38" i="2" s="1"/>
  <c r="C37" i="2"/>
  <c r="D37" i="2" s="1"/>
  <c r="E37" i="2" s="1"/>
  <c r="F37" i="2" s="1"/>
  <c r="G37" i="2" s="1"/>
  <c r="H37" i="2" s="1"/>
  <c r="I37" i="2" s="1"/>
  <c r="J37" i="2" s="1"/>
  <c r="K37" i="2" s="1"/>
  <c r="L37" i="2" s="1"/>
  <c r="M37" i="2" s="1"/>
  <c r="N37" i="2" s="1"/>
  <c r="O37" i="2" s="1"/>
  <c r="B37" i="2"/>
  <c r="E22" i="2"/>
  <c r="H22" i="2" s="1"/>
  <c r="K22" i="2" s="1"/>
  <c r="N22" i="2" s="1"/>
  <c r="F22" i="2"/>
  <c r="G22" i="2"/>
  <c r="I22" i="2"/>
  <c r="L22" i="2" s="1"/>
  <c r="O22" i="2" s="1"/>
  <c r="J22" i="2"/>
  <c r="M22" i="2" s="1"/>
  <c r="C21" i="2"/>
  <c r="D21" i="2" s="1"/>
  <c r="E21" i="2" s="1"/>
  <c r="F21" i="2" s="1"/>
  <c r="G21" i="2" s="1"/>
  <c r="H21" i="2" s="1"/>
  <c r="I21" i="2" s="1"/>
  <c r="J21" i="2" s="1"/>
  <c r="K21" i="2" s="1"/>
  <c r="L21" i="2" s="1"/>
  <c r="M21" i="2" s="1"/>
  <c r="N21" i="2" s="1"/>
  <c r="O21" i="2" s="1"/>
  <c r="B21" i="2"/>
  <c r="E6" i="2"/>
  <c r="F6" i="2"/>
  <c r="G6" i="2"/>
  <c r="H6" i="2"/>
  <c r="I6" i="2"/>
  <c r="J6" i="2"/>
  <c r="M6" i="2" s="1"/>
  <c r="K6" i="2"/>
  <c r="N6" i="2" s="1"/>
  <c r="L6" i="2"/>
  <c r="O6" i="2" s="1"/>
  <c r="C5" i="2"/>
  <c r="D5" i="2"/>
  <c r="E5" i="2"/>
  <c r="F5" i="2"/>
  <c r="G5" i="2"/>
  <c r="H5" i="2"/>
  <c r="I5" i="2"/>
  <c r="J5" i="2"/>
  <c r="K5" i="2"/>
  <c r="L5" i="2"/>
  <c r="M5" i="2"/>
  <c r="N5" i="2"/>
  <c r="O5" i="2"/>
  <c r="U4" i="1" l="1"/>
  <c r="T4" i="1"/>
  <c r="S4" i="1"/>
  <c r="R4" i="1"/>
  <c r="Q4" i="1"/>
  <c r="Q5" i="1" a="1"/>
  <c r="Q5" i="1" s="1"/>
  <c r="Q3" i="1" a="1"/>
  <c r="Q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<sst xmlns="http://schemas.openxmlformats.org/spreadsheetml/2006/main" count="9" uniqueCount="5">
  <si>
    <t>x</t>
  </si>
  <si>
    <t>y</t>
  </si>
  <si>
    <t>TREND</t>
  </si>
  <si>
    <t>FORECAST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</si>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</sst>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\-??_-;_-@_-"/>
    <numFmt numFmtId="165" formatCode="0.0"/>
  </numFmts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0"/>
      <color theme="1"/>
      <name val="Arial Unicode MS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1" fillId="0" borderId="0"/>
    <xf numFmtId="164" fontId="1" fillId="0" borderId="0" applyFont="0" applyBorder="0" applyAlignment="0" applyProtection="0"/>
  </cellStyleXfs>
  <cellXfs count="10">
    <xf numFmtId="0" fontId="0" fillId="0" borderId="0" xfId="0"/>
    <xf numFmtId="0" fontId="2" fillId="0" borderId="1" xfId="1" applyFont="1" applyBorder="1" applyAlignment="1">
      <alignment horizontal="center"/>
    </xf>
    <xf numFmtId="165" fontId="3" fillId="0" borderId="1" xfId="1" applyNumberFormat="1" applyFont="1" applyBorder="1" applyAlignment="1">
      <alignment horizontal="center"/>
    </xf>
    <xf numFmtId="1" fontId="3" fillId="0" borderId="1" xfId="1" applyNumberFormat="1" applyFont="1" applyBorder="1" applyAlignment="1">
      <alignment horizontal="center"/>
    </xf>
    <xf numFmtId="0" fontId="4" fillId="0" borderId="0" xfId="0" applyFont="1"/>
    <xf numFmtId="1" fontId="3" fillId="0" borderId="1" xfId="1" applyNumberFormat="1" applyFont="1" applyFill="1" applyBorder="1" applyAlignment="1">
      <alignment horizontal="center"/>
    </xf>
    <xf numFmtId="165" fontId="3" fillId="0" borderId="2" xfId="1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0" fillId="0" borderId="0" xfId="0" applyNumberFormat="1"/>
  </cellXfs>
  <cellStyles count="3">
    <cellStyle name="Comma 2" xfId="2" xr:uid="{5D87EDA0-6A66-4D54-9830-22721C8986DC}"/>
    <cellStyle name="Normal" xfId="0" builtinId="0"/>
    <cellStyle name="Normal 2" xfId="1" xr:uid="{1FC5272C-5922-4B7F-9996-F6113607AA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'3.1'!$A$2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'3.1'!$B$1:$P$1</c:f>
              <c:numCache>
                <c:formatCode>0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'3.1'!$B$2:$P$2</c:f>
              <c:numCache>
                <c:formatCode>0.0</c:formatCode>
                <c:ptCount val="15"/>
                <c:pt idx="0">
                  <c:v>3.4</c:v>
                </c:pt>
                <c:pt idx="1">
                  <c:v>5.2</c:v>
                </c:pt>
                <c:pt idx="2">
                  <c:v>4.7</c:v>
                </c:pt>
                <c:pt idx="3">
                  <c:v>6.1</c:v>
                </c:pt>
                <c:pt idx="4">
                  <c:v>7.8</c:v>
                </c:pt>
                <c:pt idx="5">
                  <c:v>6.2</c:v>
                </c:pt>
                <c:pt idx="6">
                  <c:v>7.5</c:v>
                </c:pt>
                <c:pt idx="7">
                  <c:v>8.1999999999999993</c:v>
                </c:pt>
                <c:pt idx="8">
                  <c:v>9.1</c:v>
                </c:pt>
                <c:pt idx="9">
                  <c:v>11</c:v>
                </c:pt>
                <c:pt idx="10">
                  <c:v>9.9</c:v>
                </c:pt>
                <c:pt idx="11">
                  <c:v>9.6999999999999993</c:v>
                </c:pt>
                <c:pt idx="12">
                  <c:v>11.2</c:v>
                </c:pt>
                <c:pt idx="13">
                  <c:v>11.3</c:v>
                </c:pt>
                <c:pt idx="14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6C-44BC-BF8A-5E6BAF4B7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4582560"/>
        <c:axId val="904582144"/>
      </c:scatterChart>
      <c:valAx>
        <c:axId val="90458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4582144"/>
        <c:crosses val="autoZero"/>
        <c:crossBetween val="midCat"/>
      </c:valAx>
      <c:valAx>
        <c:axId val="9045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4582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Logarithmic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'3.1'!$A$2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'3.1'!$B$1:$P$1</c:f>
              <c:numCache>
                <c:formatCode>0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'3.1'!$B$2:$P$2</c:f>
              <c:numCache>
                <c:formatCode>0.0</c:formatCode>
                <c:ptCount val="15"/>
                <c:pt idx="0">
                  <c:v>3.4</c:v>
                </c:pt>
                <c:pt idx="1">
                  <c:v>5.2</c:v>
                </c:pt>
                <c:pt idx="2">
                  <c:v>4.7</c:v>
                </c:pt>
                <c:pt idx="3">
                  <c:v>6.1</c:v>
                </c:pt>
                <c:pt idx="4">
                  <c:v>7.8</c:v>
                </c:pt>
                <c:pt idx="5">
                  <c:v>6.2</c:v>
                </c:pt>
                <c:pt idx="6">
                  <c:v>7.5</c:v>
                </c:pt>
                <c:pt idx="7">
                  <c:v>8.1999999999999993</c:v>
                </c:pt>
                <c:pt idx="8">
                  <c:v>9.1</c:v>
                </c:pt>
                <c:pt idx="9">
                  <c:v>11</c:v>
                </c:pt>
                <c:pt idx="10">
                  <c:v>9.9</c:v>
                </c:pt>
                <c:pt idx="11">
                  <c:v>9.6999999999999993</c:v>
                </c:pt>
                <c:pt idx="12">
                  <c:v>11.2</c:v>
                </c:pt>
                <c:pt idx="13">
                  <c:v>11.3</c:v>
                </c:pt>
                <c:pt idx="14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E7-4B4E-AFE0-6FA549FE6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738048"/>
        <c:axId val="1466733056"/>
      </c:scatterChart>
      <c:valAx>
        <c:axId val="1466738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733056"/>
        <c:crosses val="autoZero"/>
        <c:crossBetween val="midCat"/>
      </c:valAx>
      <c:valAx>
        <c:axId val="146673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73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'3.1'!$A$2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'3.1'!$B$1:$P$1</c:f>
              <c:numCache>
                <c:formatCode>0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'3.1'!$B$2:$P$2</c:f>
              <c:numCache>
                <c:formatCode>0.0</c:formatCode>
                <c:ptCount val="15"/>
                <c:pt idx="0">
                  <c:v>3.4</c:v>
                </c:pt>
                <c:pt idx="1">
                  <c:v>5.2</c:v>
                </c:pt>
                <c:pt idx="2">
                  <c:v>4.7</c:v>
                </c:pt>
                <c:pt idx="3">
                  <c:v>6.1</c:v>
                </c:pt>
                <c:pt idx="4">
                  <c:v>7.8</c:v>
                </c:pt>
                <c:pt idx="5">
                  <c:v>6.2</c:v>
                </c:pt>
                <c:pt idx="6">
                  <c:v>7.5</c:v>
                </c:pt>
                <c:pt idx="7">
                  <c:v>8.1999999999999993</c:v>
                </c:pt>
                <c:pt idx="8">
                  <c:v>9.1</c:v>
                </c:pt>
                <c:pt idx="9">
                  <c:v>11</c:v>
                </c:pt>
                <c:pt idx="10">
                  <c:v>9.9</c:v>
                </c:pt>
                <c:pt idx="11">
                  <c:v>9.6999999999999993</c:v>
                </c:pt>
                <c:pt idx="12">
                  <c:v>11.2</c:v>
                </c:pt>
                <c:pt idx="13">
                  <c:v>11.3</c:v>
                </c:pt>
                <c:pt idx="14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2C-4645-9F81-96E2E0ACB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8451808"/>
        <c:axId val="1438438080"/>
      </c:scatterChart>
      <c:valAx>
        <c:axId val="143845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438080"/>
        <c:crosses val="autoZero"/>
        <c:crossBetween val="midCat"/>
      </c:valAx>
      <c:valAx>
        <c:axId val="143843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45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Polynomial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'3.1'!$A$2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'3.1'!$B$1:$P$1</c:f>
              <c:numCache>
                <c:formatCode>0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'3.1'!$B$2:$P$2</c:f>
              <c:numCache>
                <c:formatCode>0.0</c:formatCode>
                <c:ptCount val="15"/>
                <c:pt idx="0">
                  <c:v>3.4</c:v>
                </c:pt>
                <c:pt idx="1">
                  <c:v>5.2</c:v>
                </c:pt>
                <c:pt idx="2">
                  <c:v>4.7</c:v>
                </c:pt>
                <c:pt idx="3">
                  <c:v>6.1</c:v>
                </c:pt>
                <c:pt idx="4">
                  <c:v>7.8</c:v>
                </c:pt>
                <c:pt idx="5">
                  <c:v>6.2</c:v>
                </c:pt>
                <c:pt idx="6">
                  <c:v>7.5</c:v>
                </c:pt>
                <c:pt idx="7">
                  <c:v>8.1999999999999993</c:v>
                </c:pt>
                <c:pt idx="8">
                  <c:v>9.1</c:v>
                </c:pt>
                <c:pt idx="9">
                  <c:v>11</c:v>
                </c:pt>
                <c:pt idx="10">
                  <c:v>9.9</c:v>
                </c:pt>
                <c:pt idx="11">
                  <c:v>9.6999999999999993</c:v>
                </c:pt>
                <c:pt idx="12">
                  <c:v>11.2</c:v>
                </c:pt>
                <c:pt idx="13">
                  <c:v>11.3</c:v>
                </c:pt>
                <c:pt idx="14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E-4A9B-860D-F9E6E82DA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724976"/>
        <c:axId val="1466725392"/>
      </c:scatterChart>
      <c:valAx>
        <c:axId val="14667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725392"/>
        <c:crosses val="autoZero"/>
        <c:crossBetween val="midCat"/>
      </c:valAx>
      <c:valAx>
        <c:axId val="146672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724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Exponential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'3.1'!$A$2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'3.1'!$B$1:$P$1</c:f>
              <c:numCache>
                <c:formatCode>0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'3.1'!$B$2:$P$2</c:f>
              <c:numCache>
                <c:formatCode>0.0</c:formatCode>
                <c:ptCount val="15"/>
                <c:pt idx="0">
                  <c:v>3.4</c:v>
                </c:pt>
                <c:pt idx="1">
                  <c:v>5.2</c:v>
                </c:pt>
                <c:pt idx="2">
                  <c:v>4.7</c:v>
                </c:pt>
                <c:pt idx="3">
                  <c:v>6.1</c:v>
                </c:pt>
                <c:pt idx="4">
                  <c:v>7.8</c:v>
                </c:pt>
                <c:pt idx="5">
                  <c:v>6.2</c:v>
                </c:pt>
                <c:pt idx="6">
                  <c:v>7.5</c:v>
                </c:pt>
                <c:pt idx="7">
                  <c:v>8.1999999999999993</c:v>
                </c:pt>
                <c:pt idx="8">
                  <c:v>9.1</c:v>
                </c:pt>
                <c:pt idx="9">
                  <c:v>11</c:v>
                </c:pt>
                <c:pt idx="10">
                  <c:v>9.9</c:v>
                </c:pt>
                <c:pt idx="11">
                  <c:v>9.6999999999999993</c:v>
                </c:pt>
                <c:pt idx="12">
                  <c:v>11.2</c:v>
                </c:pt>
                <c:pt idx="13">
                  <c:v>11.3</c:v>
                </c:pt>
                <c:pt idx="14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52-434D-B19B-862F40F0B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31472"/>
        <c:axId val="1084542288"/>
      </c:scatterChart>
      <c:valAx>
        <c:axId val="1084531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42288"/>
        <c:crosses val="autoZero"/>
        <c:crossBetween val="midCat"/>
      </c:valAx>
      <c:valAx>
        <c:axId val="108454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31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Y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'3.2'!$B$1:$U$1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'3.2'!$B$2:$P$2</c:f>
              <c:numCache>
                <c:formatCode>0.0</c:formatCode>
                <c:ptCount val="15"/>
                <c:pt idx="0">
                  <c:v>3.4</c:v>
                </c:pt>
                <c:pt idx="1">
                  <c:v>5.2</c:v>
                </c:pt>
                <c:pt idx="2">
                  <c:v>4.7</c:v>
                </c:pt>
                <c:pt idx="3">
                  <c:v>6.1</c:v>
                </c:pt>
                <c:pt idx="4">
                  <c:v>7.8</c:v>
                </c:pt>
                <c:pt idx="5">
                  <c:v>6.2</c:v>
                </c:pt>
                <c:pt idx="6">
                  <c:v>7.5</c:v>
                </c:pt>
                <c:pt idx="7">
                  <c:v>8.1999999999999993</c:v>
                </c:pt>
                <c:pt idx="8">
                  <c:v>9.1</c:v>
                </c:pt>
                <c:pt idx="9">
                  <c:v>11</c:v>
                </c:pt>
                <c:pt idx="10">
                  <c:v>9.9</c:v>
                </c:pt>
                <c:pt idx="11">
                  <c:v>9.6999999999999993</c:v>
                </c:pt>
                <c:pt idx="12">
                  <c:v>11.2</c:v>
                </c:pt>
                <c:pt idx="13">
                  <c:v>11.3</c:v>
                </c:pt>
                <c:pt idx="14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F51-49E6-9FF3-350E00310A52}"/>
            </c:ext>
          </c:extLst>
        </c:ser>
        <c:ser>
          <c:idx val="1"/>
          <c:order val="1"/>
          <c:tx>
            <c:v>TREND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'3.2'!$Q$1:$U$1</c:f>
              <c:numCache>
                <c:formatCode>0</c:formatCode>
                <c:ptCount val="5"/>
                <c:pt idx="0">
                  <c:v>16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  <c:pt idx="4">
                  <c:v>20</c:v>
                </c:pt>
              </c:numCache>
            </c:numRef>
          </c:xVal>
          <c:yVal>
            <c:numRef>
              <c:f>'3.2'!$Q$3:$U$3</c:f>
              <c:numCache>
                <c:formatCode>General</c:formatCode>
                <c:ptCount val="5"/>
                <c:pt idx="0">
                  <c:v>12.825714285714286</c:v>
                </c:pt>
                <c:pt idx="1">
                  <c:v>13.401428571428571</c:v>
                </c:pt>
                <c:pt idx="2">
                  <c:v>13.977142857142857</c:v>
                </c:pt>
                <c:pt idx="3">
                  <c:v>14.552857142857142</c:v>
                </c:pt>
                <c:pt idx="4">
                  <c:v>15.128571428571428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51-49E6-9FF3-350E00310A52}"/>
            </c:ext>
          </c:extLst>
        </c:ser>
        <c:ser>
          <c:idx val="2"/>
          <c:order val="2"/>
          <c:tx>
            <c:v>FORECAST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'3.2'!$Q$1:$U$1</c:f>
              <c:numCache>
                <c:formatCode>0</c:formatCode>
                <c:ptCount val="5"/>
                <c:pt idx="0">
                  <c:v>16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  <c:pt idx="4">
                  <c:v>20</c:v>
                </c:pt>
              </c:numCache>
            </c:numRef>
          </c:xVal>
          <c:yVal>
            <c:numRef>
              <c:f>'3.2'!$Q$4:$U$4</c:f>
              <c:numCache>
                <c:formatCode>General</c:formatCode>
                <c:ptCount val="5"/>
                <c:pt idx="0">
                  <c:v>12.825714285714286</c:v>
                </c:pt>
                <c:pt idx="1">
                  <c:v>13.236483516483517</c:v>
                </c:pt>
                <c:pt idx="2">
                  <c:v>13.842307692307694</c:v>
                </c:pt>
                <c:pt idx="3">
                  <c:v>14.12925407925408</c:v>
                </c:pt>
                <c:pt idx="4">
                  <c:v>14.563636363636363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F51-49E6-9FF3-350E00310A52}"/>
            </c:ext>
          </c:extLst>
        </c:ser>
        <c:ser>
          <c:idx val="3"/>
          <c:order val="3"/>
          <c:tx>
            <c:v>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'3.2'!$P$1:$U$1</c:f>
              <c:numCache>
                <c:formatCode>0</c:formatCode>
                <c:ptCount val="6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</c:numCache>
            </c:numRef>
          </c:xVal>
          <c:yVal>
            <c:numRef>
              <c:f>'3.2'!$Q$5:$U$5</c:f>
              <c:numCache>
                <c:formatCode>General</c:formatCode>
                <c:ptCount val="5"/>
                <c:pt idx="0">
                  <c:v>14.428792338503914</c:v>
                </c:pt>
                <c:pt idx="1">
                  <c:v>15.593567345003168</c:v>
                </c:pt>
                <c:pt idx="2">
                  <c:v>16.852369681298068</c:v>
                </c:pt>
                <c:pt idx="3">
                  <c:v>18.212789773607543</c:v>
                </c:pt>
                <c:pt idx="4">
                  <c:v>19.683030790959588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F51-49E6-9FF3-350E00310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4715200"/>
        <c:axId val="1224710624"/>
      </c:scatterChart>
      <c:valAx>
        <c:axId val="1224715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710624"/>
        <c:crosses val="autoZero"/>
        <c:crossBetween val="midCat"/>
      </c:valAx>
      <c:valAx>
        <c:axId val="122471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715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Moving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'3.3'!$B$2:$P$2</c:f>
              <c:numCache>
                <c:formatCode>0.0</c:formatCode>
                <c:ptCount val="15"/>
                <c:pt idx="0">
                  <c:v>3.4</c:v>
                </c:pt>
                <c:pt idx="1">
                  <c:v>5.2</c:v>
                </c:pt>
                <c:pt idx="2">
                  <c:v>4.7</c:v>
                </c:pt>
                <c:pt idx="3">
                  <c:v>6.1</c:v>
                </c:pt>
                <c:pt idx="4">
                  <c:v>7.8</c:v>
                </c:pt>
                <c:pt idx="5">
                  <c:v>6.2</c:v>
                </c:pt>
                <c:pt idx="6">
                  <c:v>7.5</c:v>
                </c:pt>
                <c:pt idx="7">
                  <c:v>8.1999999999999993</c:v>
                </c:pt>
                <c:pt idx="8">
                  <c:v>9.1</c:v>
                </c:pt>
                <c:pt idx="9">
                  <c:v>11</c:v>
                </c:pt>
                <c:pt idx="10">
                  <c:v>9.9</c:v>
                </c:pt>
                <c:pt idx="11">
                  <c:v>9.6999999999999993</c:v>
                </c:pt>
                <c:pt idx="12">
                  <c:v>11.2</c:v>
                </c:pt>
                <c:pt idx="13">
                  <c:v>11.3</c:v>
                </c:pt>
                <c:pt idx="14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4-42AA-AD7E-653B02A8C502}"/>
            </c:ext>
          </c:extLst>
        </c:ser>
        <c:ser>
          <c:idx val="1"/>
          <c:order val="1"/>
          <c:tx>
            <c:v>Forecast</c:v>
          </c:tx>
          <c:val>
            <c:numRef>
              <c:f>'3.3'!$A$5:$O$5</c:f>
              <c:numCache>
                <c:formatCode>General</c:formatCode>
                <c:ptCount val="15"/>
                <c:pt idx="0">
                  <c:v>#N/A</c:v>
                </c:pt>
                <c:pt idx="1">
                  <c:v>#N/A</c:v>
                </c:pt>
                <c:pt idx="2" formatCode="0.0">
                  <c:v>4.4333333333333336</c:v>
                </c:pt>
                <c:pt idx="3" formatCode="0.0">
                  <c:v>5.333333333333333</c:v>
                </c:pt>
                <c:pt idx="4" formatCode="0.0">
                  <c:v>6.2</c:v>
                </c:pt>
                <c:pt idx="5" formatCode="0.0">
                  <c:v>6.6999999999999993</c:v>
                </c:pt>
                <c:pt idx="6" formatCode="0.0">
                  <c:v>7.166666666666667</c:v>
                </c:pt>
                <c:pt idx="7" formatCode="0.0">
                  <c:v>7.3</c:v>
                </c:pt>
                <c:pt idx="8" formatCode="0.0">
                  <c:v>8.2666666666666657</c:v>
                </c:pt>
                <c:pt idx="9" formatCode="0.0">
                  <c:v>9.4333333333333318</c:v>
                </c:pt>
                <c:pt idx="10" formatCode="0.0">
                  <c:v>10</c:v>
                </c:pt>
                <c:pt idx="11" formatCode="0.0">
                  <c:v>10.199999999999999</c:v>
                </c:pt>
                <c:pt idx="12" formatCode="0.0">
                  <c:v>10.266666666666667</c:v>
                </c:pt>
                <c:pt idx="13" formatCode="0.0">
                  <c:v>10.733333333333334</c:v>
                </c:pt>
                <c:pt idx="14" formatCode="0.0">
                  <c:v>11.5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4-42AA-AD7E-653B02A8C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087232"/>
        <c:axId val="1222089728"/>
      </c:lineChart>
      <c:catAx>
        <c:axId val="1222087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1222089728"/>
        <c:crosses val="autoZero"/>
        <c:auto val="1"/>
        <c:lblAlgn val="ctr"/>
        <c:lblOffset val="100"/>
        <c:noMultiLvlLbl val="0"/>
      </c:catAx>
      <c:valAx>
        <c:axId val="122208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222087232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Exponential Smoothing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'3.3'!$B$2:$P$2</c:f>
              <c:numCache>
                <c:formatCode>0.0</c:formatCode>
                <c:ptCount val="15"/>
                <c:pt idx="0">
                  <c:v>3.4</c:v>
                </c:pt>
                <c:pt idx="1">
                  <c:v>5.2</c:v>
                </c:pt>
                <c:pt idx="2">
                  <c:v>4.7</c:v>
                </c:pt>
                <c:pt idx="3">
                  <c:v>6.1</c:v>
                </c:pt>
                <c:pt idx="4">
                  <c:v>7.8</c:v>
                </c:pt>
                <c:pt idx="5">
                  <c:v>6.2</c:v>
                </c:pt>
                <c:pt idx="6">
                  <c:v>7.5</c:v>
                </c:pt>
                <c:pt idx="7">
                  <c:v>8.1999999999999993</c:v>
                </c:pt>
                <c:pt idx="8">
                  <c:v>9.1</c:v>
                </c:pt>
                <c:pt idx="9">
                  <c:v>11</c:v>
                </c:pt>
                <c:pt idx="10">
                  <c:v>9.9</c:v>
                </c:pt>
                <c:pt idx="11">
                  <c:v>9.6999999999999993</c:v>
                </c:pt>
                <c:pt idx="12">
                  <c:v>11.2</c:v>
                </c:pt>
                <c:pt idx="13">
                  <c:v>11.3</c:v>
                </c:pt>
                <c:pt idx="14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9B-4B01-9904-335C8C5C882C}"/>
            </c:ext>
          </c:extLst>
        </c:ser>
        <c:ser>
          <c:idx val="1"/>
          <c:order val="1"/>
          <c:tx>
            <c:v>Forecast</c:v>
          </c:tx>
          <c:val>
            <c:numRef>
              <c:f>'3.3'!$A$21:$O$21</c:f>
              <c:numCache>
                <c:formatCode>0.0</c:formatCode>
                <c:ptCount val="15"/>
                <c:pt idx="0" formatCode="General">
                  <c:v>#N/A</c:v>
                </c:pt>
                <c:pt idx="1">
                  <c:v>3.4</c:v>
                </c:pt>
                <c:pt idx="2" formatCode="General">
                  <c:v>4.66</c:v>
                </c:pt>
                <c:pt idx="3" formatCode="General">
                  <c:v>4.6879999999999997</c:v>
                </c:pt>
                <c:pt idx="4" formatCode="General">
                  <c:v>5.6763999999999992</c:v>
                </c:pt>
                <c:pt idx="5" formatCode="General">
                  <c:v>7.1629199999999997</c:v>
                </c:pt>
                <c:pt idx="6" formatCode="General">
                  <c:v>6.4888759999999994</c:v>
                </c:pt>
                <c:pt idx="7" formatCode="General">
                  <c:v>7.1966627999999995</c:v>
                </c:pt>
                <c:pt idx="8" formatCode="General">
                  <c:v>7.8989988399999991</c:v>
                </c:pt>
                <c:pt idx="9" formatCode="General">
                  <c:v>8.7396996519999988</c:v>
                </c:pt>
                <c:pt idx="10" formatCode="General">
                  <c:v>10.321909895599999</c:v>
                </c:pt>
                <c:pt idx="11" formatCode="General">
                  <c:v>10.02657296868</c:v>
                </c:pt>
                <c:pt idx="12" formatCode="General">
                  <c:v>9.7979718906039999</c:v>
                </c:pt>
                <c:pt idx="13" formatCode="General">
                  <c:v>10.779391567181198</c:v>
                </c:pt>
                <c:pt idx="14" formatCode="General">
                  <c:v>11.14381747015436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9B-4B01-9904-335C8C5C8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313920"/>
        <c:axId val="853312256"/>
      </c:lineChart>
      <c:catAx>
        <c:axId val="853313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853312256"/>
        <c:crosses val="autoZero"/>
        <c:auto val="1"/>
        <c:lblAlgn val="ctr"/>
        <c:lblOffset val="100"/>
        <c:noMultiLvlLbl val="0"/>
      </c:catAx>
      <c:valAx>
        <c:axId val="8533122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853313920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Exponential Smoothing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'3.3'!$B$2:$P$2</c:f>
              <c:numCache>
                <c:formatCode>0.0</c:formatCode>
                <c:ptCount val="15"/>
                <c:pt idx="0">
                  <c:v>3.4</c:v>
                </c:pt>
                <c:pt idx="1">
                  <c:v>5.2</c:v>
                </c:pt>
                <c:pt idx="2">
                  <c:v>4.7</c:v>
                </c:pt>
                <c:pt idx="3">
                  <c:v>6.1</c:v>
                </c:pt>
                <c:pt idx="4">
                  <c:v>7.8</c:v>
                </c:pt>
                <c:pt idx="5">
                  <c:v>6.2</c:v>
                </c:pt>
                <c:pt idx="6">
                  <c:v>7.5</c:v>
                </c:pt>
                <c:pt idx="7">
                  <c:v>8.1999999999999993</c:v>
                </c:pt>
                <c:pt idx="8">
                  <c:v>9.1</c:v>
                </c:pt>
                <c:pt idx="9">
                  <c:v>11</c:v>
                </c:pt>
                <c:pt idx="10">
                  <c:v>9.9</c:v>
                </c:pt>
                <c:pt idx="11">
                  <c:v>9.6999999999999993</c:v>
                </c:pt>
                <c:pt idx="12">
                  <c:v>11.2</c:v>
                </c:pt>
                <c:pt idx="13">
                  <c:v>11.3</c:v>
                </c:pt>
                <c:pt idx="14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B4-4346-95B8-5818E03F05C9}"/>
            </c:ext>
          </c:extLst>
        </c:ser>
        <c:ser>
          <c:idx val="1"/>
          <c:order val="1"/>
          <c:tx>
            <c:v>Forecast</c:v>
          </c:tx>
          <c:val>
            <c:numRef>
              <c:f>'3.3'!$A$37:$O$37</c:f>
              <c:numCache>
                <c:formatCode>0.0</c:formatCode>
                <c:ptCount val="15"/>
                <c:pt idx="0" formatCode="General">
                  <c:v>#N/A</c:v>
                </c:pt>
                <c:pt idx="1">
                  <c:v>3.4</c:v>
                </c:pt>
                <c:pt idx="2" formatCode="General">
                  <c:v>3.94</c:v>
                </c:pt>
                <c:pt idx="3" formatCode="General">
                  <c:v>4.1680000000000001</c:v>
                </c:pt>
                <c:pt idx="4" formatCode="General">
                  <c:v>4.7475999999999994</c:v>
                </c:pt>
                <c:pt idx="5" formatCode="General">
                  <c:v>5.6633199999999988</c:v>
                </c:pt>
                <c:pt idx="6" formatCode="General">
                  <c:v>5.8243239999999989</c:v>
                </c:pt>
                <c:pt idx="7" formatCode="General">
                  <c:v>6.3270267999999987</c:v>
                </c:pt>
                <c:pt idx="8" formatCode="General">
                  <c:v>6.8889187599999975</c:v>
                </c:pt>
                <c:pt idx="9" formatCode="General">
                  <c:v>7.5522431319999974</c:v>
                </c:pt>
                <c:pt idx="10" formatCode="General">
                  <c:v>8.5865701923999964</c:v>
                </c:pt>
                <c:pt idx="11" formatCode="General">
                  <c:v>8.9805991346799967</c:v>
                </c:pt>
                <c:pt idx="12" formatCode="General">
                  <c:v>9.1964193942759973</c:v>
                </c:pt>
                <c:pt idx="13" formatCode="General">
                  <c:v>9.7974935759931974</c:v>
                </c:pt>
                <c:pt idx="14" formatCode="General">
                  <c:v>10.248245503195237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B4-4346-95B8-5818E03F0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8453056"/>
        <c:axId val="1438453472"/>
      </c:lineChart>
      <c:catAx>
        <c:axId val="1438453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1438453472"/>
        <c:crosses val="autoZero"/>
        <c:auto val="1"/>
        <c:lblAlgn val="ctr"/>
        <c:lblOffset val="100"/>
        <c:noMultiLvlLbl val="0"/>
      </c:catAx>
      <c:valAx>
        <c:axId val="14384534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438453056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2</xdr:row>
      <xdr:rowOff>11430</xdr:rowOff>
    </xdr:from>
    <xdr:to>
      <xdr:col>7</xdr:col>
      <xdr:colOff>327660</xdr:colOff>
      <xdr:row>17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3508BF-828A-4568-B943-D5716B561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335280</xdr:colOff>
      <xdr:row>2</xdr:row>
      <xdr:rowOff>11430</xdr:rowOff>
    </xdr:from>
    <xdr:to>
      <xdr:col>15</xdr:col>
      <xdr:colOff>30480</xdr:colOff>
      <xdr:row>17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E079A2-7266-4910-98DC-635AD5DA23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38100</xdr:colOff>
      <xdr:row>2</xdr:row>
      <xdr:rowOff>11430</xdr:rowOff>
    </xdr:from>
    <xdr:to>
      <xdr:col>22</xdr:col>
      <xdr:colOff>342900</xdr:colOff>
      <xdr:row>17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90DA36-8ECA-4F2C-8A83-12132A3397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342900</xdr:colOff>
      <xdr:row>17</xdr:row>
      <xdr:rowOff>26670</xdr:rowOff>
    </xdr:from>
    <xdr:to>
      <xdr:col>15</xdr:col>
      <xdr:colOff>38100</xdr:colOff>
      <xdr:row>32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2620B72-CCCB-4813-99A8-AC6A269659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21404</xdr:colOff>
      <xdr:row>17</xdr:row>
      <xdr:rowOff>15410</xdr:rowOff>
    </xdr:from>
    <xdr:to>
      <xdr:col>7</xdr:col>
      <xdr:colOff>338191</xdr:colOff>
      <xdr:row>32</xdr:row>
      <xdr:rowOff>61644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0A275FD-FACE-458D-8F91-C1365EF0C2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388620</xdr:colOff>
      <xdr:row>2</xdr:row>
      <xdr:rowOff>171450</xdr:rowOff>
    </xdr:from>
    <xdr:to>
      <xdr:col>8</xdr:col>
      <xdr:colOff>83820</xdr:colOff>
      <xdr:row>17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9F6336-C6DA-4E29-9538-AEDC523007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251460</xdr:colOff>
      <xdr:row>7</xdr:row>
      <xdr:rowOff>175260</xdr:rowOff>
    </xdr:from>
    <xdr:to>
      <xdr:col>6</xdr:col>
      <xdr:colOff>251460</xdr:colOff>
      <xdr:row>17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58076F-B543-49A9-BF73-1302F595A7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251460</xdr:colOff>
      <xdr:row>23</xdr:row>
      <xdr:rowOff>175260</xdr:rowOff>
    </xdr:from>
    <xdr:to>
      <xdr:col>6</xdr:col>
      <xdr:colOff>251460</xdr:colOff>
      <xdr:row>33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F6BEAE6-BE90-4C86-976B-8C074D898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304800</xdr:colOff>
      <xdr:row>40</xdr:row>
      <xdr:rowOff>0</xdr:rowOff>
    </xdr:from>
    <xdr:to>
      <xdr:col>6</xdr:col>
      <xdr:colOff>304800</xdr:colOff>
      <xdr:row>50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DF3534D-73E9-4E0C-98DF-0D3222726F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1B573-F784-4EFD-892B-F09A83E171D8}">
  <dimension ref="A1:P2"/>
  <sheetViews>
    <sheetView tabSelected="1" zoomScale="89" zoomScaleNormal="89" workbookViewId="0">
      <selection activeCell="U23" sqref="U23"/>
    </sheetView>
  </sheetViews>
  <sheetFormatPr defaultRowHeight="14.4"/>
  <sheetData>
    <row r="1" spans="1:16" ht="17.399999999999999">
      <c r="A1" s="1" t="s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</row>
    <row r="2" spans="1:16" ht="17.399999999999999">
      <c r="A2" s="1" t="s">
        <v>1</v>
      </c>
      <c r="B2" s="2">
        <v>3.4</v>
      </c>
      <c r="C2" s="2">
        <v>5.2</v>
      </c>
      <c r="D2" s="2">
        <v>4.7</v>
      </c>
      <c r="E2" s="2">
        <v>6.1</v>
      </c>
      <c r="F2" s="2">
        <v>7.8</v>
      </c>
      <c r="G2" s="2">
        <v>6.2</v>
      </c>
      <c r="H2" s="2">
        <v>7.5</v>
      </c>
      <c r="I2" s="2">
        <v>8.1999999999999993</v>
      </c>
      <c r="J2" s="2">
        <v>9.1</v>
      </c>
      <c r="K2" s="2">
        <v>11</v>
      </c>
      <c r="L2" s="2">
        <v>9.9</v>
      </c>
      <c r="M2" s="2">
        <v>9.6999999999999993</v>
      </c>
      <c r="N2" s="2">
        <v>11.2</v>
      </c>
      <c r="O2" s="2">
        <v>11.3</v>
      </c>
      <c r="P2" s="2">
        <v>12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59AF6-ABD7-4739-8544-D8597B2FBA59}">
  <dimension ref="A1:U6"/>
  <sheetViews>
    <sheetView workbookViewId="0">
      <selection activeCell="L21" sqref="L21"/>
    </sheetView>
  </sheetViews>
  <sheetFormatPr defaultRowHeight="14.4"/>
  <cols>
    <col min="16" max="16" width="12.88671875" customWidth="1"/>
  </cols>
  <sheetData>
    <row r="1" spans="1:21" ht="17.399999999999999">
      <c r="A1" s="1" t="s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</row>
    <row r="2" spans="1:21" ht="17.399999999999999">
      <c r="A2" s="1" t="s">
        <v>1</v>
      </c>
      <c r="B2" s="2">
        <v>3.4</v>
      </c>
      <c r="C2" s="2">
        <v>5.2</v>
      </c>
      <c r="D2" s="2">
        <v>4.7</v>
      </c>
      <c r="E2" s="2">
        <v>6.1</v>
      </c>
      <c r="F2" s="2">
        <v>7.8</v>
      </c>
      <c r="G2" s="2">
        <v>6.2</v>
      </c>
      <c r="H2" s="2">
        <v>7.5</v>
      </c>
      <c r="I2" s="2">
        <v>8.1999999999999993</v>
      </c>
      <c r="J2" s="2">
        <v>9.1</v>
      </c>
      <c r="K2" s="2">
        <v>11</v>
      </c>
      <c r="L2" s="2">
        <v>9.9</v>
      </c>
      <c r="M2" s="2">
        <v>9.6999999999999993</v>
      </c>
      <c r="N2" s="2">
        <v>11.2</v>
      </c>
      <c r="O2" s="2">
        <v>11.3</v>
      </c>
      <c r="P2" s="6">
        <v>12</v>
      </c>
    </row>
    <row r="3" spans="1:21" ht="18">
      <c r="P3" s="7" t="s">
        <v>2</v>
      </c>
      <c r="Q3" s="8" cm="1">
        <f t="array" ref="Q3:U3">TREND(B2:P2,B1:P1,Q1:U1)</f>
        <v>12.825714285714286</v>
      </c>
      <c r="R3" s="8">
        <v>13.401428571428571</v>
      </c>
      <c r="S3" s="8">
        <v>13.977142857142857</v>
      </c>
      <c r="T3" s="8">
        <v>14.552857142857142</v>
      </c>
      <c r="U3" s="8">
        <v>15.128571428571428</v>
      </c>
    </row>
    <row r="4" spans="1:21" ht="18">
      <c r="P4" s="7" t="s">
        <v>3</v>
      </c>
      <c r="Q4" s="8">
        <f>_xlfn.FORECAST.LINEAR(Q1,B2:P2,B1:P1)</f>
        <v>12.825714285714286</v>
      </c>
      <c r="R4" s="8">
        <f t="shared" ref="R4:U4" si="0">_xlfn.FORECAST.LINEAR(R1,C2:Q2,C1:Q1)</f>
        <v>13.236483516483517</v>
      </c>
      <c r="S4" s="8">
        <f t="shared" si="0"/>
        <v>13.842307692307694</v>
      </c>
      <c r="T4" s="8">
        <f t="shared" si="0"/>
        <v>14.12925407925408</v>
      </c>
      <c r="U4" s="8">
        <f t="shared" si="0"/>
        <v>14.563636363636363</v>
      </c>
    </row>
    <row r="5" spans="1:21" ht="18">
      <c r="K5" s="4"/>
      <c r="P5" s="7" t="s">
        <v>4</v>
      </c>
      <c r="Q5" s="8" cm="1">
        <f t="array" ref="Q5:U5">GROWTH(B2:P2,B1:P1,Q1:U1)</f>
        <v>14.428792338503914</v>
      </c>
      <c r="R5" s="8">
        <v>15.593567345003168</v>
      </c>
      <c r="S5" s="8">
        <v>16.852369681298068</v>
      </c>
      <c r="T5" s="8">
        <v>18.212789773607543</v>
      </c>
      <c r="U5" s="8">
        <v>19.683030790959588</v>
      </c>
    </row>
    <row r="6" spans="1:21">
      <c r="K6" s="4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6692-EB05-47D6-BBB0-79278AD19971}">
  <dimension ref="A1:P38"/>
  <sheetViews>
    <sheetView topLeftCell="A24" zoomScale="92" zoomScaleNormal="92" workbookViewId="0">
      <selection activeCell="U35" sqref="U35"/>
    </sheetView>
  </sheetViews>
  <sheetFormatPr defaultRowHeight="14.4"/>
  <sheetData>
    <row r="1" spans="1:16" ht="17.399999999999999">
      <c r="A1" s="1" t="s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</row>
    <row r="2" spans="1:16" ht="17.399999999999999">
      <c r="A2" s="1" t="s">
        <v>1</v>
      </c>
      <c r="B2" s="2">
        <v>3.4</v>
      </c>
      <c r="C2" s="2">
        <v>5.2</v>
      </c>
      <c r="D2" s="2">
        <v>4.7</v>
      </c>
      <c r="E2" s="2">
        <v>6.1</v>
      </c>
      <c r="F2" s="2">
        <v>7.8</v>
      </c>
      <c r="G2" s="2">
        <v>6.2</v>
      </c>
      <c r="H2" s="2">
        <v>7.5</v>
      </c>
      <c r="I2" s="2">
        <v>8.1999999999999993</v>
      </c>
      <c r="J2" s="2">
        <v>9.1</v>
      </c>
      <c r="K2" s="2">
        <v>11</v>
      </c>
      <c r="L2" s="2">
        <v>9.9</v>
      </c>
      <c r="M2" s="2">
        <v>9.6999999999999993</v>
      </c>
      <c r="N2" s="2">
        <v>11.2</v>
      </c>
      <c r="O2" s="2">
        <v>11.3</v>
      </c>
      <c r="P2" s="2">
        <v>12</v>
      </c>
    </row>
    <row r="5" spans="1:16">
      <c r="A5" t="e">
        <v>#N/A</v>
      </c>
      <c r="B5" t="e">
        <v>#N/A</v>
      </c>
      <c r="C5" s="9">
        <f t="shared" ref="C5:O5" si="0">AVERAGE(B2:D2)</f>
        <v>4.4333333333333336</v>
      </c>
      <c r="D5" s="9">
        <f t="shared" si="0"/>
        <v>5.333333333333333</v>
      </c>
      <c r="E5" s="9">
        <f t="shared" si="0"/>
        <v>6.2</v>
      </c>
      <c r="F5" s="9">
        <f t="shared" si="0"/>
        <v>6.6999999999999993</v>
      </c>
      <c r="G5" s="9">
        <f t="shared" si="0"/>
        <v>7.166666666666667</v>
      </c>
      <c r="H5" s="9">
        <f t="shared" si="0"/>
        <v>7.3</v>
      </c>
      <c r="I5" s="9">
        <f t="shared" si="0"/>
        <v>8.2666666666666657</v>
      </c>
      <c r="J5" s="9">
        <f t="shared" si="0"/>
        <v>9.4333333333333318</v>
      </c>
      <c r="K5" s="9">
        <f t="shared" si="0"/>
        <v>10</v>
      </c>
      <c r="L5" s="9">
        <f t="shared" si="0"/>
        <v>10.199999999999999</v>
      </c>
      <c r="M5" s="9">
        <f t="shared" si="0"/>
        <v>10.266666666666667</v>
      </c>
      <c r="N5" s="9">
        <f t="shared" si="0"/>
        <v>10.733333333333334</v>
      </c>
      <c r="O5" s="9">
        <f t="shared" si="0"/>
        <v>11.5</v>
      </c>
    </row>
    <row r="6" spans="1:16">
      <c r="A6" t="e">
        <v>#N/A</v>
      </c>
      <c r="B6" t="e">
        <v>#N/A</v>
      </c>
      <c r="C6" t="e">
        <v>#N/A</v>
      </c>
      <c r="D6" t="e">
        <v>#N/A</v>
      </c>
      <c r="E6" t="e">
        <f t="shared" ref="E6:O6" si="1">SQRT(SUMXMY2(B4:B6,C5:C7)/3)</f>
        <v>#N/A</v>
      </c>
      <c r="F6" t="e">
        <f t="shared" si="1"/>
        <v>#N/A</v>
      </c>
      <c r="G6" t="e">
        <f t="shared" si="1"/>
        <v>#N/A</v>
      </c>
      <c r="H6" t="e">
        <f t="shared" si="1"/>
        <v>#N/A</v>
      </c>
      <c r="I6" t="e">
        <f t="shared" si="1"/>
        <v>#N/A</v>
      </c>
      <c r="J6" t="e">
        <f t="shared" si="1"/>
        <v>#N/A</v>
      </c>
      <c r="K6" t="e">
        <f t="shared" si="1"/>
        <v>#N/A</v>
      </c>
      <c r="L6" t="e">
        <f t="shared" si="1"/>
        <v>#N/A</v>
      </c>
      <c r="M6" t="e">
        <f t="shared" si="1"/>
        <v>#N/A</v>
      </c>
      <c r="N6" t="e">
        <f t="shared" si="1"/>
        <v>#N/A</v>
      </c>
      <c r="O6" t="e">
        <f t="shared" si="1"/>
        <v>#N/A</v>
      </c>
    </row>
    <row r="21" spans="1:15">
      <c r="A21" t="e">
        <v>#N/A</v>
      </c>
      <c r="B21" s="9">
        <f>B2</f>
        <v>3.4</v>
      </c>
      <c r="C21">
        <f t="shared" ref="C21:O21" si="2">0.7*C2+0.3*B21</f>
        <v>4.66</v>
      </c>
      <c r="D21">
        <f t="shared" si="2"/>
        <v>4.6879999999999997</v>
      </c>
      <c r="E21">
        <f t="shared" si="2"/>
        <v>5.6763999999999992</v>
      </c>
      <c r="F21">
        <f t="shared" si="2"/>
        <v>7.1629199999999997</v>
      </c>
      <c r="G21">
        <f t="shared" si="2"/>
        <v>6.4888759999999994</v>
      </c>
      <c r="H21">
        <f t="shared" si="2"/>
        <v>7.1966627999999995</v>
      </c>
      <c r="I21">
        <f t="shared" si="2"/>
        <v>7.8989988399999991</v>
      </c>
      <c r="J21">
        <f t="shared" si="2"/>
        <v>8.7396996519999988</v>
      </c>
      <c r="K21">
        <f t="shared" si="2"/>
        <v>10.321909895599999</v>
      </c>
      <c r="L21">
        <f t="shared" si="2"/>
        <v>10.02657296868</v>
      </c>
      <c r="M21">
        <f t="shared" si="2"/>
        <v>9.7979718906039999</v>
      </c>
      <c r="N21">
        <f t="shared" si="2"/>
        <v>10.779391567181198</v>
      </c>
      <c r="O21">
        <f t="shared" si="2"/>
        <v>11.14381747015436</v>
      </c>
    </row>
    <row r="22" spans="1:15">
      <c r="A22" t="e">
        <v>#N/A</v>
      </c>
      <c r="B22" t="e">
        <v>#N/A</v>
      </c>
      <c r="C22" t="e">
        <v>#N/A</v>
      </c>
      <c r="D22" t="e">
        <v>#N/A</v>
      </c>
      <c r="E22" t="e">
        <f t="shared" ref="E22:O22" si="3">SQRT(SUMXMY2(B3:B5,B21:B23)/3)</f>
        <v>#N/A</v>
      </c>
      <c r="F22" t="e">
        <f t="shared" si="3"/>
        <v>#N/A</v>
      </c>
      <c r="G22" t="e">
        <f t="shared" si="3"/>
        <v>#N/A</v>
      </c>
      <c r="H22" t="e">
        <f t="shared" si="3"/>
        <v>#N/A</v>
      </c>
      <c r="I22" t="e">
        <f t="shared" si="3"/>
        <v>#N/A</v>
      </c>
      <c r="J22" t="e">
        <f t="shared" si="3"/>
        <v>#N/A</v>
      </c>
      <c r="K22" t="e">
        <f t="shared" si="3"/>
        <v>#N/A</v>
      </c>
      <c r="L22" t="e">
        <f t="shared" si="3"/>
        <v>#N/A</v>
      </c>
      <c r="M22" t="e">
        <f t="shared" si="3"/>
        <v>#N/A</v>
      </c>
      <c r="N22" t="e">
        <f t="shared" si="3"/>
        <v>#N/A</v>
      </c>
      <c r="O22" t="e">
        <f t="shared" si="3"/>
        <v>#N/A</v>
      </c>
    </row>
    <row r="37" spans="1:15">
      <c r="A37" t="e">
        <v>#N/A</v>
      </c>
      <c r="B37" s="9">
        <f>B2</f>
        <v>3.4</v>
      </c>
      <c r="C37">
        <f t="shared" ref="C37:O37" si="4">0.3*C2+0.7*B37</f>
        <v>3.94</v>
      </c>
      <c r="D37">
        <f t="shared" si="4"/>
        <v>4.1680000000000001</v>
      </c>
      <c r="E37">
        <f t="shared" si="4"/>
        <v>4.7475999999999994</v>
      </c>
      <c r="F37">
        <f t="shared" si="4"/>
        <v>5.6633199999999988</v>
      </c>
      <c r="G37">
        <f t="shared" si="4"/>
        <v>5.8243239999999989</v>
      </c>
      <c r="H37">
        <f t="shared" si="4"/>
        <v>6.3270267999999987</v>
      </c>
      <c r="I37">
        <f t="shared" si="4"/>
        <v>6.8889187599999975</v>
      </c>
      <c r="J37">
        <f t="shared" si="4"/>
        <v>7.5522431319999974</v>
      </c>
      <c r="K37">
        <f t="shared" si="4"/>
        <v>8.5865701923999964</v>
      </c>
      <c r="L37">
        <f t="shared" si="4"/>
        <v>8.9805991346799967</v>
      </c>
      <c r="M37">
        <f t="shared" si="4"/>
        <v>9.1964193942759973</v>
      </c>
      <c r="N37">
        <f t="shared" si="4"/>
        <v>9.7974935759931974</v>
      </c>
      <c r="O37">
        <f t="shared" si="4"/>
        <v>10.248245503195237</v>
      </c>
    </row>
    <row r="38" spans="1:15">
      <c r="A38" t="e">
        <v>#N/A</v>
      </c>
      <c r="B38" t="e">
        <v>#N/A</v>
      </c>
      <c r="C38" t="e">
        <v>#N/A</v>
      </c>
      <c r="D38" t="e">
        <v>#N/A</v>
      </c>
      <c r="E38" t="e">
        <f t="shared" ref="E38:O38" si="5">SQRT(SUMXMY2(B3:B5,B37:B39)/3)</f>
        <v>#N/A</v>
      </c>
      <c r="F38" t="e">
        <f t="shared" si="5"/>
        <v>#N/A</v>
      </c>
      <c r="G38" t="e">
        <f t="shared" si="5"/>
        <v>#N/A</v>
      </c>
      <c r="H38" t="e">
        <f t="shared" si="5"/>
        <v>#N/A</v>
      </c>
      <c r="I38" t="e">
        <f t="shared" si="5"/>
        <v>#N/A</v>
      </c>
      <c r="J38" t="e">
        <f t="shared" si="5"/>
        <v>#N/A</v>
      </c>
      <c r="K38" t="e">
        <f t="shared" si="5"/>
        <v>#N/A</v>
      </c>
      <c r="L38" t="e">
        <f t="shared" si="5"/>
        <v>#N/A</v>
      </c>
      <c r="M38" t="e">
        <f t="shared" si="5"/>
        <v>#N/A</v>
      </c>
      <c r="N38" t="e">
        <f t="shared" si="5"/>
        <v>#N/A</v>
      </c>
      <c r="O38" t="e">
        <f t="shared" si="5"/>
        <v>#N/A</v>
      </c>
    </row>
  </sheetData>
  <dataConsolidate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3.1</vt:lpstr>
      <vt:lpstr>3.2</vt:lpstr>
      <vt:lpstr>3.3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Fearless Atom</dc:creator>
  <cp:lastModifiedBy>Fearless Atom</cp:lastModifiedBy>
  <dcterms:created xsi:type="dcterms:W3CDTF">2026-04-15T03:28:58Z</dcterms:created>
  <dcterms:modified xsi:type="dcterms:W3CDTF">2026-04-15T06:44:51Z</dcterms:modified>
</cp:coreProperties>
</file>